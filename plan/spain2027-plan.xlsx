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adlines" sheetId="2" state="visible" r:id="rId2"/>
    <sheet name="Monthly actions" sheetId="3" state="visible" r:id="rId3"/>
    <sheet name="Programs" sheetId="4" state="visible" r:id="rId4"/>
    <sheet name="Income log" sheetId="5" state="visible" r:id="rId5"/>
    <sheet name="How to use" sheetId="6" state="visible" r:id="rId6"/>
  </sheets>
  <definedNames>
    <definedName name="_xlnm._FilterDatabase" localSheetId="1" hidden="1">'Deadlines'!$A$1:$I$34</definedName>
    <definedName name="_xlnm._FilterDatabase" localSheetId="2" hidden="1">'Monthly actions'!$A$1:$F$90</definedName>
    <definedName name="_xlnm._FilterDatabase" localSheetId="3" hidden="1">'Programs'!$A$1:$G$13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yyyy"/>
    <numFmt numFmtId="166" formatCode="$#,##0"/>
    <numFmt numFmtId="167" formatCode="0.000"/>
    <numFmt numFmtId="168" formatCode="€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</font>
    <font>
      <name val="Arial"/>
      <color theme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165" fontId="6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2" borderId="0" pivotButton="0" quotePrefix="0" xfId="0"/>
    <xf numFmtId="9" fontId="3" fillId="2" borderId="0" pivotButton="0" quotePrefix="0" xfId="0"/>
    <xf numFmtId="166" fontId="0" fillId="0" borderId="0" pivotButton="0" quotePrefix="0" xfId="0"/>
    <xf numFmtId="167" fontId="3" fillId="2" borderId="0" pivotButton="0" quotePrefix="0" xfId="0"/>
    <xf numFmtId="165" fontId="0" fillId="0" borderId="0" pivotButton="0" quotePrefix="0" xfId="0"/>
    <xf numFmtId="166" fontId="0" fillId="2" borderId="0" pivotButton="0" quotePrefix="0" xfId="0"/>
    <xf numFmtId="168" fontId="0" fillId="0" borderId="0" pivotButton="0" quotePrefix="0" xfId="0"/>
    <xf numFmtId="167" fontId="0" fillId="2" borderId="0" pivotButton="0" quotePrefix="0" xfId="0"/>
    <xf numFmtId="9" fontId="0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ont>
        <name val="Arial"/>
        <strike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s="1" t="inlineStr">
        <is>
          <t>Spain 2027 plan summary</t>
        </is>
      </c>
      <c r="B1" s="2" t="n"/>
      <c r="C1" s="2" t="n"/>
      <c r="D1" s="2" t="n"/>
      <c r="E1" s="2" t="n"/>
    </row>
    <row r="2">
      <c r="A2" s="2" t="inlineStr">
        <is>
          <t>Today</t>
        </is>
      </c>
      <c r="B2" s="3">
        <f>TODAY()</f>
        <v/>
      </c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Deadlines: open items by workstream</t>
        </is>
      </c>
      <c r="B4" s="2" t="n"/>
      <c r="C4" s="2" t="n"/>
      <c r="D4" s="2" t="n"/>
      <c r="E4" s="2" t="n"/>
    </row>
    <row r="5">
      <c r="A5" s="5" t="inlineStr">
        <is>
          <t>Workstream</t>
        </is>
      </c>
      <c r="B5" s="5" t="inlineStr">
        <is>
          <t>Open</t>
        </is>
      </c>
      <c r="C5" s="5" t="inlineStr">
        <is>
          <t>Overdue</t>
        </is>
      </c>
      <c r="D5" s="5" t="inlineStr">
        <is>
          <t>Due in 14 days</t>
        </is>
      </c>
      <c r="E5" s="5" t="inlineStr">
        <is>
          <t>Done</t>
        </is>
      </c>
    </row>
    <row r="6">
      <c r="A6" s="2" t="inlineStr">
        <is>
          <t>Programs</t>
        </is>
      </c>
      <c r="B6" s="2">
        <f>COUNTIFS(Deadlines!$B$2:$B$34,A6,Deadlines!$E$2:$E$34,"&lt;&gt;Done")</f>
        <v/>
      </c>
      <c r="C6" s="2">
        <f>COUNTIFS(Deadlines!$B$2:$B$34,A6,Deadlines!$E$2:$E$34,"&lt;&gt;Done",Deadlines!$C$2:$C$34,"&lt;"&amp;TODAY())</f>
        <v/>
      </c>
      <c r="D6" s="2">
        <f>COUNTIFS(Deadlines!$B$2:$B$34,A6,Deadlines!$E$2:$E$34,"&lt;&gt;Done",Deadlines!$C$2:$C$34,"&gt;="&amp;TODAY(),Deadlines!$C$2:$C$34,"&lt;="&amp;(TODAY()+14))</f>
        <v/>
      </c>
      <c r="E6" s="2">
        <f>COUNTIFS(Deadlines!$B$2:$B$34,A6,Deadlines!$E$2:$E$34,"Done")</f>
        <v/>
      </c>
    </row>
    <row r="7">
      <c r="A7" s="2" t="inlineStr">
        <is>
          <t>Immigration</t>
        </is>
      </c>
      <c r="B7" s="2">
        <f>COUNTIFS(Deadlines!$B$2:$B$34,A7,Deadlines!$E$2:$E$34,"&lt;&gt;Done")</f>
        <v/>
      </c>
      <c r="C7" s="2">
        <f>COUNTIFS(Deadlines!$B$2:$B$34,A7,Deadlines!$E$2:$E$34,"&lt;&gt;Done",Deadlines!$C$2:$C$34,"&lt;"&amp;TODAY())</f>
        <v/>
      </c>
      <c r="D7" s="2">
        <f>COUNTIFS(Deadlines!$B$2:$B$34,A7,Deadlines!$E$2:$E$34,"&lt;&gt;Done",Deadlines!$C$2:$C$34,"&gt;="&amp;TODAY(),Deadlines!$C$2:$C$34,"&lt;="&amp;(TODAY()+14))</f>
        <v/>
      </c>
      <c r="E7" s="2">
        <f>COUNTIFS(Deadlines!$B$2:$B$34,A7,Deadlines!$E$2:$E$34,"Done")</f>
        <v/>
      </c>
    </row>
    <row r="8">
      <c r="A8" s="2" t="inlineStr">
        <is>
          <t>Tax</t>
        </is>
      </c>
      <c r="B8" s="2">
        <f>COUNTIFS(Deadlines!$B$2:$B$34,A8,Deadlines!$E$2:$E$34,"&lt;&gt;Done")</f>
        <v/>
      </c>
      <c r="C8" s="2">
        <f>COUNTIFS(Deadlines!$B$2:$B$34,A8,Deadlines!$E$2:$E$34,"&lt;&gt;Done",Deadlines!$C$2:$C$34,"&lt;"&amp;TODAY())</f>
        <v/>
      </c>
      <c r="D8" s="2">
        <f>COUNTIFS(Deadlines!$B$2:$B$34,A8,Deadlines!$E$2:$E$34,"&lt;&gt;Done",Deadlines!$C$2:$C$34,"&gt;="&amp;TODAY(),Deadlines!$C$2:$C$34,"&lt;="&amp;(TODAY()+14))</f>
        <v/>
      </c>
      <c r="E8" s="2">
        <f>COUNTIFS(Deadlines!$B$2:$B$34,A8,Deadlines!$E$2:$E$34,"Done")</f>
        <v/>
      </c>
    </row>
    <row r="9">
      <c r="A9" s="2" t="inlineStr">
        <is>
          <t>Income</t>
        </is>
      </c>
      <c r="B9" s="2">
        <f>COUNTIFS(Deadlines!$B$2:$B$34,A9,Deadlines!$E$2:$E$34,"&lt;&gt;Done")</f>
        <v/>
      </c>
      <c r="C9" s="2">
        <f>COUNTIFS(Deadlines!$B$2:$B$34,A9,Deadlines!$E$2:$E$34,"&lt;&gt;Done",Deadlines!$C$2:$C$34,"&lt;"&amp;TODAY())</f>
        <v/>
      </c>
      <c r="D9" s="2">
        <f>COUNTIFS(Deadlines!$B$2:$B$34,A9,Deadlines!$E$2:$E$34,"&lt;&gt;Done",Deadlines!$C$2:$C$34,"&gt;="&amp;TODAY(),Deadlines!$C$2:$C$34,"&lt;="&amp;(TODAY()+14))</f>
        <v/>
      </c>
      <c r="E9" s="2">
        <f>COUNTIFS(Deadlines!$B$2:$B$34,A9,Deadlines!$E$2:$E$34,"Done")</f>
        <v/>
      </c>
    </row>
    <row r="10">
      <c r="A10" s="2" t="inlineStr">
        <is>
          <t>Trip</t>
        </is>
      </c>
      <c r="B10" s="2">
        <f>COUNTIFS(Deadlines!$B$2:$B$34,A10,Deadlines!$E$2:$E$34,"&lt;&gt;Done")</f>
        <v/>
      </c>
      <c r="C10" s="2">
        <f>COUNTIFS(Deadlines!$B$2:$B$34,A10,Deadlines!$E$2:$E$34,"&lt;&gt;Done",Deadlines!$C$2:$C$34,"&lt;"&amp;TODAY())</f>
        <v/>
      </c>
      <c r="D10" s="2">
        <f>COUNTIFS(Deadlines!$B$2:$B$34,A10,Deadlines!$E$2:$E$34,"&lt;&gt;Done",Deadlines!$C$2:$C$34,"&gt;="&amp;TODAY(),Deadlines!$C$2:$C$34,"&lt;="&amp;(TODAY()+14))</f>
        <v/>
      </c>
      <c r="E10" s="2">
        <f>COUNTIFS(Deadlines!$B$2:$B$34,A10,Deadlines!$E$2:$E$34,"Done")</f>
        <v/>
      </c>
    </row>
    <row r="11">
      <c r="A11" s="2" t="inlineStr">
        <is>
          <t>Outreach</t>
        </is>
      </c>
      <c r="B11" s="2">
        <f>COUNTIFS(Deadlines!$B$2:$B$34,A11,Deadlines!$E$2:$E$34,"&lt;&gt;Done")</f>
        <v/>
      </c>
      <c r="C11" s="2">
        <f>COUNTIFS(Deadlines!$B$2:$B$34,A11,Deadlines!$E$2:$E$34,"&lt;&gt;Done",Deadlines!$C$2:$C$34,"&lt;"&amp;TODAY())</f>
        <v/>
      </c>
      <c r="D11" s="2">
        <f>COUNTIFS(Deadlines!$B$2:$B$34,A11,Deadlines!$E$2:$E$34,"&lt;&gt;Done",Deadlines!$C$2:$C$34,"&gt;="&amp;TODAY(),Deadlines!$C$2:$C$34,"&lt;="&amp;(TODAY()+14))</f>
        <v/>
      </c>
      <c r="E11" s="2">
        <f>COUNTIFS(Deadlines!$B$2:$B$34,A11,Deadlines!$E$2:$E$34,"Done")</f>
        <v/>
      </c>
    </row>
    <row r="12">
      <c r="A12" s="2" t="inlineStr">
        <is>
          <t>Kindergarten</t>
        </is>
      </c>
      <c r="B12" s="2">
        <f>COUNTIFS(Deadlines!$B$2:$B$34,A12,Deadlines!$E$2:$E$34,"&lt;&gt;Done")</f>
        <v/>
      </c>
      <c r="C12" s="2">
        <f>COUNTIFS(Deadlines!$B$2:$B$34,A12,Deadlines!$E$2:$E$34,"&lt;&gt;Done",Deadlines!$C$2:$C$34,"&lt;"&amp;TODAY())</f>
        <v/>
      </c>
      <c r="D12" s="2">
        <f>COUNTIFS(Deadlines!$B$2:$B$34,A12,Deadlines!$E$2:$E$34,"&lt;&gt;Done",Deadlines!$C$2:$C$34,"&gt;="&amp;TODAY(),Deadlines!$C$2:$C$34,"&lt;="&amp;(TODAY()+14))</f>
        <v/>
      </c>
      <c r="E12" s="2">
        <f>COUNTIFS(Deadlines!$B$2:$B$34,A12,Deadlines!$E$2:$E$34,"Done")</f>
        <v/>
      </c>
    </row>
    <row r="13">
      <c r="A13" s="2" t="inlineStr">
        <is>
          <t>Spanish</t>
        </is>
      </c>
      <c r="B13" s="2">
        <f>COUNTIFS(Deadlines!$B$2:$B$34,A13,Deadlines!$E$2:$E$34,"&lt;&gt;Done")</f>
        <v/>
      </c>
      <c r="C13" s="2">
        <f>COUNTIFS(Deadlines!$B$2:$B$34,A13,Deadlines!$E$2:$E$34,"&lt;&gt;Done",Deadlines!$C$2:$C$34,"&lt;"&amp;TODAY())</f>
        <v/>
      </c>
      <c r="D13" s="2">
        <f>COUNTIFS(Deadlines!$B$2:$B$34,A13,Deadlines!$E$2:$E$34,"&lt;&gt;Done",Deadlines!$C$2:$C$34,"&gt;="&amp;TODAY(),Deadlines!$C$2:$C$34,"&lt;="&amp;(TODAY()+14))</f>
        <v/>
      </c>
      <c r="E13" s="2">
        <f>COUNTIFS(Deadlines!$B$2:$B$34,A13,Deadlines!$E$2:$E$34,"Done")</f>
        <v/>
      </c>
    </row>
    <row r="14">
      <c r="A14" s="2" t="inlineStr">
        <is>
          <t>Move</t>
        </is>
      </c>
      <c r="B14" s="2">
        <f>COUNTIFS(Deadlines!$B$2:$B$34,A14,Deadlines!$E$2:$E$34,"&lt;&gt;Done")</f>
        <v/>
      </c>
      <c r="C14" s="2">
        <f>COUNTIFS(Deadlines!$B$2:$B$34,A14,Deadlines!$E$2:$E$34,"&lt;&gt;Done",Deadlines!$C$2:$C$34,"&lt;"&amp;TODAY())</f>
        <v/>
      </c>
      <c r="D14" s="2">
        <f>COUNTIFS(Deadlines!$B$2:$B$34,A14,Deadlines!$E$2:$E$34,"&lt;&gt;Done",Deadlines!$C$2:$C$34,"&gt;="&amp;TODAY(),Deadlines!$C$2:$C$34,"&lt;="&amp;(TODAY()+14))</f>
        <v/>
      </c>
      <c r="E14" s="2">
        <f>COUNTIFS(Deadlines!$B$2:$B$34,A14,Deadlines!$E$2:$E$34,"Done")</f>
        <v/>
      </c>
    </row>
    <row r="15">
      <c r="A15" s="2" t="inlineStr">
        <is>
          <t>Housing</t>
        </is>
      </c>
      <c r="B15" s="2">
        <f>COUNTIFS(Deadlines!$B$2:$B$34,A15,Deadlines!$E$2:$E$34,"&lt;&gt;Done")</f>
        <v/>
      </c>
      <c r="C15" s="2">
        <f>COUNTIFS(Deadlines!$B$2:$B$34,A15,Deadlines!$E$2:$E$34,"&lt;&gt;Done",Deadlines!$C$2:$C$34,"&lt;"&amp;TODAY())</f>
        <v/>
      </c>
      <c r="D15" s="2">
        <f>COUNTIFS(Deadlines!$B$2:$B$34,A15,Deadlines!$E$2:$E$34,"&lt;&gt;Done",Deadlines!$C$2:$C$34,"&gt;="&amp;TODAY(),Deadlines!$C$2:$C$34,"&lt;="&amp;(TODAY()+14))</f>
        <v/>
      </c>
      <c r="E15" s="2">
        <f>COUNTIFS(Deadlines!$B$2:$B$34,A15,Deadlines!$E$2:$E$34,"Done")</f>
        <v/>
      </c>
    </row>
    <row r="16">
      <c r="A16" s="2" t="inlineStr">
        <is>
          <t>Work</t>
        </is>
      </c>
      <c r="B16" s="2">
        <f>COUNTIFS(Deadlines!$B$2:$B$34,A16,Deadlines!$E$2:$E$34,"&lt;&gt;Done")</f>
        <v/>
      </c>
      <c r="C16" s="2">
        <f>COUNTIFS(Deadlines!$B$2:$B$34,A16,Deadlines!$E$2:$E$34,"&lt;&gt;Done",Deadlines!$C$2:$C$34,"&lt;"&amp;TODAY())</f>
        <v/>
      </c>
      <c r="D16" s="2">
        <f>COUNTIFS(Deadlines!$B$2:$B$34,A16,Deadlines!$E$2:$E$34,"&lt;&gt;Done",Deadlines!$C$2:$C$34,"&gt;="&amp;TODAY(),Deadlines!$C$2:$C$34,"&lt;="&amp;(TODAY()+14))</f>
        <v/>
      </c>
      <c r="E16" s="2">
        <f>COUNTIFS(Deadlines!$B$2:$B$34,A16,Deadlines!$E$2:$E$34,"Done")</f>
        <v/>
      </c>
    </row>
    <row r="17">
      <c r="A17" s="2" t="inlineStr">
        <is>
          <t>Dog</t>
        </is>
      </c>
      <c r="B17" s="2">
        <f>COUNTIFS(Deadlines!$B$2:$B$34,A17,Deadlines!$E$2:$E$34,"&lt;&gt;Done")</f>
        <v/>
      </c>
      <c r="C17" s="2">
        <f>COUNTIFS(Deadlines!$B$2:$B$34,A17,Deadlines!$E$2:$E$34,"&lt;&gt;Done",Deadlines!$C$2:$C$34,"&lt;"&amp;TODAY())</f>
        <v/>
      </c>
      <c r="D17" s="2">
        <f>COUNTIFS(Deadlines!$B$2:$B$34,A17,Deadlines!$E$2:$E$34,"&lt;&gt;Done",Deadlines!$C$2:$C$34,"&gt;="&amp;TODAY(),Deadlines!$C$2:$C$34,"&lt;="&amp;(TODAY()+14))</f>
        <v/>
      </c>
      <c r="E17" s="2">
        <f>COUNTIFS(Deadlines!$B$2:$B$34,A17,Deadlines!$E$2:$E$34,"Done")</f>
        <v/>
      </c>
    </row>
    <row r="18">
      <c r="A18" s="4" t="inlineStr">
        <is>
          <t>Total</t>
        </is>
      </c>
      <c r="B18" s="4">
        <f>SUM(B6:B17)</f>
        <v/>
      </c>
      <c r="C18" s="4">
        <f>SUM(C6:C17)</f>
        <v/>
      </c>
      <c r="D18" s="4">
        <f>SUM(D6:D17)</f>
        <v/>
      </c>
      <c r="E18" s="4">
        <f>SUM(E6:E17)</f>
        <v/>
      </c>
    </row>
    <row r="19">
      <c r="A19" s="2" t="n"/>
      <c r="B19" s="2" t="n"/>
      <c r="C19" s="2" t="n"/>
      <c r="D19" s="2" t="n"/>
      <c r="E19" s="2" t="n"/>
    </row>
    <row r="20">
      <c r="A20" s="4" t="inlineStr">
        <is>
          <t>Monthly actions: open items by month</t>
        </is>
      </c>
      <c r="B20" s="2" t="n"/>
      <c r="C20" s="2" t="n"/>
      <c r="D20" s="2" t="n"/>
      <c r="E20" s="2" t="n"/>
    </row>
    <row r="21">
      <c r="A21" s="5" t="inlineStr">
        <is>
          <t>Month</t>
        </is>
      </c>
      <c r="B21" s="5" t="inlineStr">
        <is>
          <t>Open</t>
        </is>
      </c>
      <c r="C21" s="5" t="inlineStr">
        <is>
          <t>Done</t>
        </is>
      </c>
      <c r="D21" s="2" t="n"/>
      <c r="E21" s="2" t="n"/>
    </row>
    <row r="22">
      <c r="A22" s="6" t="n">
        <v>46266</v>
      </c>
      <c r="B22" s="2">
        <f>COUNTIFS('Monthly actions'!$A$2:$A$90,A22,'Monthly actions'!$E$2:$E$90,"&lt;&gt;Done")</f>
        <v/>
      </c>
      <c r="C22" s="2">
        <f>COUNTIFS('Monthly actions'!$A$2:$A$90,A22,'Monthly actions'!$E$2:$E$90,"Done")</f>
        <v/>
      </c>
      <c r="D22" s="2" t="n"/>
      <c r="E22" s="2" t="n"/>
    </row>
    <row r="23">
      <c r="A23" s="6" t="n">
        <v>46296</v>
      </c>
      <c r="B23" s="2">
        <f>COUNTIFS('Monthly actions'!$A$2:$A$90,A23,'Monthly actions'!$E$2:$E$90,"&lt;&gt;Done")</f>
        <v/>
      </c>
      <c r="C23" s="2">
        <f>COUNTIFS('Monthly actions'!$A$2:$A$90,A23,'Monthly actions'!$E$2:$E$90,"Done")</f>
        <v/>
      </c>
      <c r="D23" s="2" t="n"/>
      <c r="E23" s="2" t="n"/>
    </row>
    <row r="24">
      <c r="A24" s="6" t="n">
        <v>46327</v>
      </c>
      <c r="B24" s="2">
        <f>COUNTIFS('Monthly actions'!$A$2:$A$90,A24,'Monthly actions'!$E$2:$E$90,"&lt;&gt;Done")</f>
        <v/>
      </c>
      <c r="C24" s="2">
        <f>COUNTIFS('Monthly actions'!$A$2:$A$90,A24,'Monthly actions'!$E$2:$E$90,"Done")</f>
        <v/>
      </c>
      <c r="D24" s="2" t="n"/>
      <c r="E24" s="2" t="n"/>
    </row>
    <row r="25">
      <c r="A25" s="6" t="n">
        <v>46357</v>
      </c>
      <c r="B25" s="2">
        <f>COUNTIFS('Monthly actions'!$A$2:$A$90,A25,'Monthly actions'!$E$2:$E$90,"&lt;&gt;Done")</f>
        <v/>
      </c>
      <c r="C25" s="2">
        <f>COUNTIFS('Monthly actions'!$A$2:$A$90,A25,'Monthly actions'!$E$2:$E$90,"Done")</f>
        <v/>
      </c>
      <c r="D25" s="2" t="n"/>
      <c r="E25" s="2" t="n"/>
    </row>
    <row r="26">
      <c r="A26" s="6" t="n">
        <v>46388</v>
      </c>
      <c r="B26" s="2">
        <f>COUNTIFS('Monthly actions'!$A$2:$A$90,A26,'Monthly actions'!$E$2:$E$90,"&lt;&gt;Done")</f>
        <v/>
      </c>
      <c r="C26" s="2">
        <f>COUNTIFS('Monthly actions'!$A$2:$A$90,A26,'Monthly actions'!$E$2:$E$90,"Done")</f>
        <v/>
      </c>
      <c r="D26" s="2" t="n"/>
      <c r="E26" s="2" t="n"/>
    </row>
    <row r="27">
      <c r="A27" s="6" t="n">
        <v>46419</v>
      </c>
      <c r="B27" s="2">
        <f>COUNTIFS('Monthly actions'!$A$2:$A$90,A27,'Monthly actions'!$E$2:$E$90,"&lt;&gt;Done")</f>
        <v/>
      </c>
      <c r="C27" s="2">
        <f>COUNTIFS('Monthly actions'!$A$2:$A$90,A27,'Monthly actions'!$E$2:$E$90,"Done")</f>
        <v/>
      </c>
      <c r="D27" s="2" t="n"/>
      <c r="E27" s="2" t="n"/>
    </row>
    <row r="28">
      <c r="A28" s="6" t="n">
        <v>46447</v>
      </c>
      <c r="B28" s="2">
        <f>COUNTIFS('Monthly actions'!$A$2:$A$90,A28,'Monthly actions'!$E$2:$E$90,"&lt;&gt;Done")</f>
        <v/>
      </c>
      <c r="C28" s="2">
        <f>COUNTIFS('Monthly actions'!$A$2:$A$90,A28,'Monthly actions'!$E$2:$E$90,"Done")</f>
        <v/>
      </c>
      <c r="D28" s="2" t="n"/>
      <c r="E28" s="2" t="n"/>
    </row>
    <row r="29">
      <c r="A29" s="6" t="n">
        <v>46478</v>
      </c>
      <c r="B29" s="2">
        <f>COUNTIFS('Monthly actions'!$A$2:$A$90,A29,'Monthly actions'!$E$2:$E$90,"&lt;&gt;Done")</f>
        <v/>
      </c>
      <c r="C29" s="2">
        <f>COUNTIFS('Monthly actions'!$A$2:$A$90,A29,'Monthly actions'!$E$2:$E$90,"Done")</f>
        <v/>
      </c>
      <c r="D29" s="2" t="n"/>
      <c r="E29" s="2" t="n"/>
    </row>
    <row r="30">
      <c r="A30" s="6" t="n">
        <v>46508</v>
      </c>
      <c r="B30" s="2">
        <f>COUNTIFS('Monthly actions'!$A$2:$A$90,A30,'Monthly actions'!$E$2:$E$90,"&lt;&gt;Done")</f>
        <v/>
      </c>
      <c r="C30" s="2">
        <f>COUNTIFS('Monthly actions'!$A$2:$A$90,A30,'Monthly actions'!$E$2:$E$90,"Done")</f>
        <v/>
      </c>
      <c r="D30" s="2" t="n"/>
      <c r="E30" s="2" t="n"/>
    </row>
    <row r="31">
      <c r="A31" s="6" t="n">
        <v>46539</v>
      </c>
      <c r="B31" s="2">
        <f>COUNTIFS('Monthly actions'!$A$2:$A$90,A31,'Monthly actions'!$E$2:$E$90,"&lt;&gt;Done")</f>
        <v/>
      </c>
      <c r="C31" s="2">
        <f>COUNTIFS('Monthly actions'!$A$2:$A$90,A31,'Monthly actions'!$E$2:$E$90,"Done")</f>
        <v/>
      </c>
      <c r="D31" s="2" t="n"/>
      <c r="E31" s="2" t="n"/>
    </row>
    <row r="32">
      <c r="A32" s="6" t="n">
        <v>46569</v>
      </c>
      <c r="B32" s="2">
        <f>COUNTIFS('Monthly actions'!$A$2:$A$90,A32,'Monthly actions'!$E$2:$E$90,"&lt;&gt;Done")</f>
        <v/>
      </c>
      <c r="C32" s="2">
        <f>COUNTIFS('Monthly actions'!$A$2:$A$90,A32,'Monthly actions'!$E$2:$E$90,"Done")</f>
        <v/>
      </c>
      <c r="D32" s="2" t="n"/>
      <c r="E32" s="2" t="n"/>
    </row>
    <row r="33">
      <c r="A33" s="6" t="n">
        <v>46600</v>
      </c>
      <c r="B33" s="2">
        <f>COUNTIFS('Monthly actions'!$A$2:$A$90,A33,'Monthly actions'!$E$2:$E$90,"&lt;&gt;Done")</f>
        <v/>
      </c>
      <c r="C33" s="2">
        <f>COUNTIFS('Monthly actions'!$A$2:$A$90,A33,'Monthly actions'!$E$2:$E$90,"Done")</f>
        <v/>
      </c>
      <c r="D33" s="2" t="n"/>
      <c r="E33" s="2" t="n"/>
    </row>
    <row r="34">
      <c r="A34" s="6" t="n">
        <v>46631</v>
      </c>
      <c r="B34" s="2">
        <f>COUNTIFS('Monthly actions'!$A$2:$A$90,A34,'Monthly actions'!$E$2:$E$90,"&lt;&gt;Done")</f>
        <v/>
      </c>
      <c r="C34" s="2">
        <f>COUNTIFS('Monthly actions'!$A$2:$A$90,A34,'Monthly actions'!$E$2:$E$90,"Done")</f>
        <v/>
      </c>
      <c r="D34" s="2" t="n"/>
      <c r="E34" s="2" t="n"/>
    </row>
    <row r="35">
      <c r="A35" s="6" t="n">
        <v>46661</v>
      </c>
      <c r="B35" s="2">
        <f>COUNTIFS('Monthly actions'!$A$2:$A$90,A35,'Monthly actions'!$E$2:$E$90,"&lt;&gt;Done")</f>
        <v/>
      </c>
      <c r="C35" s="2">
        <f>COUNTIFS('Monthly actions'!$A$2:$A$90,A35,'Monthly actions'!$E$2:$E$90,"Done")</f>
        <v/>
      </c>
      <c r="D35" s="2" t="n"/>
      <c r="E3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0" customWidth="1" min="4" max="4"/>
    <col width="13" customWidth="1" min="5" max="5"/>
    <col width="17" customWidth="1" min="6" max="6"/>
    <col width="20" customWidth="1" min="7" max="7"/>
    <col width="34" customWidth="1" min="8" max="8"/>
    <col width="40" customWidth="1" min="9" max="9"/>
  </cols>
  <sheetData>
    <row r="1">
      <c r="A1" s="7" t="inlineStr">
        <is>
          <t>Task</t>
        </is>
      </c>
      <c r="B1" s="7" t="inlineStr">
        <is>
          <t>Workstream</t>
        </is>
      </c>
      <c r="C1" s="7" t="inlineStr">
        <is>
          <t>Due</t>
        </is>
      </c>
      <c r="D1" s="7" t="inlineStr">
        <is>
          <t>Days left</t>
        </is>
      </c>
      <c r="E1" s="7" t="inlineStr">
        <is>
          <t>Status</t>
        </is>
      </c>
      <c r="F1" s="7" t="inlineStr">
        <is>
          <t>Type</t>
        </is>
      </c>
      <c r="G1" s="7" t="inlineStr">
        <is>
          <t>Confidence</t>
        </is>
      </c>
      <c r="H1" s="7" t="inlineStr">
        <is>
          <t>Source, checked</t>
        </is>
      </c>
      <c r="I1" s="7" t="inlineStr">
        <is>
          <t>Notes</t>
        </is>
      </c>
    </row>
    <row r="2">
      <c r="A2" s="8" t="inlineStr">
        <is>
          <t>ELISAVA Design for Responsible AI, 2026 intake application deadline (past)</t>
        </is>
      </c>
      <c r="B2" s="8" t="inlineStr">
        <is>
          <t>Programs</t>
        </is>
      </c>
      <c r="C2" s="9" t="n">
        <v>46273</v>
      </c>
      <c r="D2" s="8">
        <f>IF(OR(C2="",E2="Done"),"",C2-TODAY())</f>
        <v/>
      </c>
      <c r="E2" s="10" t="inlineStr">
        <is>
          <t>Done</t>
        </is>
      </c>
      <c r="F2" s="8" t="inlineStr">
        <is>
          <t>EXTERNAL</t>
        </is>
      </c>
      <c r="G2" s="8" t="inlineStr">
        <is>
          <t>confirmed</t>
        </is>
      </c>
      <c r="H2" s="8" t="inlineStr">
        <is>
          <t>User, 2026-09-09</t>
        </is>
      </c>
      <c r="I2" s="10" t="inlineStr"/>
    </row>
    <row r="3">
      <c r="A3" s="8" t="inlineStr">
        <is>
          <t>Client and contract inventory complete with end dates and monthly value</t>
        </is>
      </c>
      <c r="B3" s="8" t="inlineStr">
        <is>
          <t>Income</t>
        </is>
      </c>
      <c r="C3" s="9" t="n">
        <v>46295</v>
      </c>
      <c r="D3" s="8">
        <f>IF(OR(C3="",E3="Done"),"",C3-TODAY())</f>
        <v/>
      </c>
      <c r="E3" s="10" t="inlineStr">
        <is>
          <t>Not started</t>
        </is>
      </c>
      <c r="F3" s="8" t="inlineStr">
        <is>
          <t>TARGET</t>
        </is>
      </c>
      <c r="G3" s="8" t="inlineStr">
        <is>
          <t>assumed</t>
        </is>
      </c>
      <c r="H3" s="8" t="inlineStr">
        <is>
          <t>This plan</t>
        </is>
      </c>
      <c r="I3" s="10" t="inlineStr"/>
    </row>
    <row r="4">
      <c r="A4" s="8" t="inlineStr">
        <is>
          <t>October trip dates fixed and flights booked</t>
        </is>
      </c>
      <c r="B4" s="8" t="inlineStr">
        <is>
          <t>Trip</t>
        </is>
      </c>
      <c r="C4" s="9" t="n">
        <v>46295</v>
      </c>
      <c r="D4" s="8">
        <f>IF(OR(C4="",E4="Done"),"",C4-TODAY())</f>
        <v/>
      </c>
      <c r="E4" s="10" t="inlineStr">
        <is>
          <t>Not started</t>
        </is>
      </c>
      <c r="F4" s="8" t="inlineStr">
        <is>
          <t>TARGET</t>
        </is>
      </c>
      <c r="G4" s="8" t="inlineStr">
        <is>
          <t>assumed</t>
        </is>
      </c>
      <c r="H4" s="8" t="inlineStr">
        <is>
          <t>This plan</t>
        </is>
      </c>
      <c r="I4" s="10" t="inlineStr"/>
    </row>
    <row r="5">
      <c r="A5" s="8" t="inlineStr">
        <is>
          <t>Verify which Spanish consulate covers Colorado</t>
        </is>
      </c>
      <c r="B5" s="8" t="inlineStr">
        <is>
          <t>Immigration</t>
        </is>
      </c>
      <c r="C5" s="9" t="n">
        <v>46295</v>
      </c>
      <c r="D5" s="8">
        <f>IF(OR(C5="",E5="Done"),"",C5-TODAY())</f>
        <v/>
      </c>
      <c r="E5" s="10" t="inlineStr">
        <is>
          <t>Not started</t>
        </is>
      </c>
      <c r="F5" s="8" t="inlineStr">
        <is>
          <t>TARGET</t>
        </is>
      </c>
      <c r="G5" s="8" t="inlineStr">
        <is>
          <t>assumed</t>
        </is>
      </c>
      <c r="H5" s="8" t="inlineStr">
        <is>
          <t>This plan</t>
        </is>
      </c>
      <c r="I5" s="10" t="inlineStr"/>
    </row>
    <row r="6">
      <c r="A6" s="8" t="inlineStr">
        <is>
          <t>Income evidence window opens: every month from here to filing must show consistent deposits at or above threshold</t>
        </is>
      </c>
      <c r="B6" s="8" t="inlineStr">
        <is>
          <t>Income</t>
        </is>
      </c>
      <c r="C6" s="9" t="n">
        <v>46296</v>
      </c>
      <c r="D6" s="8">
        <f>IF(OR(C6="",E6="Done"),"",C6-TODAY())</f>
        <v/>
      </c>
      <c r="E6" s="10" t="inlineStr">
        <is>
          <t>Not started</t>
        </is>
      </c>
      <c r="F6" s="8" t="inlineStr">
        <is>
          <t>RELATIVE</t>
        </is>
      </c>
      <c r="G6" s="8" t="inlineStr">
        <is>
          <t>assumed</t>
        </is>
      </c>
      <c r="H6" s="8" t="inlineStr">
        <is>
          <t>Chat 1: 3 to 6 months before filing</t>
        </is>
      </c>
      <c r="I6" s="10" t="inlineStr"/>
    </row>
    <row r="7">
      <c r="A7" s="8" t="inlineStr">
        <is>
          <t>Outreach sent to Salesforce partners in Barcelona, meetings requested for trip</t>
        </is>
      </c>
      <c r="B7" s="8" t="inlineStr">
        <is>
          <t>Outreach</t>
        </is>
      </c>
      <c r="C7" s="9" t="n">
        <v>46310</v>
      </c>
      <c r="D7" s="8">
        <f>IF(OR(C7="",E7="Done"),"",C7-TODAY())</f>
        <v/>
      </c>
      <c r="E7" s="10" t="inlineStr">
        <is>
          <t>Not started</t>
        </is>
      </c>
      <c r="F7" s="8" t="inlineStr">
        <is>
          <t>TARGET</t>
        </is>
      </c>
      <c r="G7" s="8" t="inlineStr">
        <is>
          <t>assumed</t>
        </is>
      </c>
      <c r="H7" s="8" t="inlineStr">
        <is>
          <t>This plan</t>
        </is>
      </c>
      <c r="I7" s="10" t="inlineStr"/>
    </row>
    <row r="8">
      <c r="A8" s="8" t="inlineStr">
        <is>
          <t>New EU pet certificate forms take effect; any dog travel after this date uses the new forms</t>
        </is>
      </c>
      <c r="B8" s="8" t="inlineStr">
        <is>
          <t>Move</t>
        </is>
      </c>
      <c r="C8" s="9" t="n">
        <v>46296</v>
      </c>
      <c r="D8" s="8">
        <f>IF(OR(C8="",E8="Done"),"",C8-TODAY())</f>
        <v/>
      </c>
      <c r="E8" s="10" t="inlineStr">
        <is>
          <t>Info</t>
        </is>
      </c>
      <c r="F8" s="8" t="inlineStr">
        <is>
          <t>EXTERNAL</t>
        </is>
      </c>
      <c r="G8" s="8" t="inlineStr">
        <is>
          <t>confirmed</t>
        </is>
      </c>
      <c r="H8" s="8" t="inlineStr">
        <is>
          <t>APHIS via search, 2026-09-09</t>
        </is>
      </c>
      <c r="I8" s="10" t="inlineStr"/>
    </row>
    <row r="9">
      <c r="A9" s="8" t="inlineStr">
        <is>
          <t>EU Business School Barcelona open day, 16:00 to 18:00</t>
        </is>
      </c>
      <c r="B9" s="8" t="inlineStr">
        <is>
          <t>Programs</t>
        </is>
      </c>
      <c r="C9" s="9" t="n">
        <v>46318</v>
      </c>
      <c r="D9" s="8">
        <f>IF(OR(C9="",E9="Done"),"",C9-TODAY())</f>
        <v/>
      </c>
      <c r="E9" s="10" t="inlineStr">
        <is>
          <t>Not started</t>
        </is>
      </c>
      <c r="F9" s="8" t="inlineStr">
        <is>
          <t>EXTERNAL</t>
        </is>
      </c>
      <c r="G9" s="8" t="inlineStr">
        <is>
          <t>confirmed</t>
        </is>
      </c>
      <c r="H9" s="8" t="inlineStr">
        <is>
          <t>euruni.edu events page via search, 2026-09-09</t>
        </is>
      </c>
      <c r="I9" s="10" t="inlineStr"/>
    </row>
    <row r="10">
      <c r="A10" s="8" t="inlineStr">
        <is>
          <t>Barcelona trip: neighborhood, schools, kindergartens, agencies, partner meetings</t>
        </is>
      </c>
      <c r="B10" s="8" t="inlineStr">
        <is>
          <t>Trip</t>
        </is>
      </c>
      <c r="C10" s="9" t="n">
        <v>46296</v>
      </c>
      <c r="D10" s="8">
        <f>IF(OR(C10="",E10="Done"),"",C10-TODAY())</f>
        <v/>
      </c>
      <c r="E10" s="10" t="inlineStr">
        <is>
          <t>Not started</t>
        </is>
      </c>
      <c r="F10" s="8" t="inlineStr">
        <is>
          <t>TARGET</t>
        </is>
      </c>
      <c r="G10" s="8" t="inlineStr">
        <is>
          <t>assumed</t>
        </is>
      </c>
      <c r="H10" s="8" t="inlineStr">
        <is>
          <t>User, 2026-09-09</t>
        </is>
      </c>
      <c r="I10" s="10" t="inlineStr">
        <is>
          <t>Month only. dates TBD</t>
        </is>
      </c>
    </row>
    <row r="11">
      <c r="A11" s="8" t="inlineStr">
        <is>
          <t>Spanish milestone: Language Transfer complete, 1200 words, 20-minute tutor conversation</t>
        </is>
      </c>
      <c r="B11" s="8" t="inlineStr">
        <is>
          <t>Spanish</t>
        </is>
      </c>
      <c r="C11" s="9" t="n">
        <v>46326</v>
      </c>
      <c r="D11" s="8">
        <f>IF(OR(C11="",E11="Done"),"",C11-TODAY())</f>
        <v/>
      </c>
      <c r="E11" s="10" t="inlineStr">
        <is>
          <t>Not started</t>
        </is>
      </c>
      <c r="F11" s="8" t="inlineStr">
        <is>
          <t>TARGET</t>
        </is>
      </c>
      <c r="G11" s="8" t="inlineStr">
        <is>
          <t>confirmed</t>
        </is>
      </c>
      <c r="H11" s="8" t="inlineStr">
        <is>
          <t>Spanish plan</t>
        </is>
      </c>
      <c r="I11" s="10" t="inlineStr"/>
    </row>
    <row r="12">
      <c r="A12" s="8" t="inlineStr">
        <is>
          <t>All shortlisted programs contacted; 2027 intake status and deadline recorded</t>
        </is>
      </c>
      <c r="B12" s="8" t="inlineStr">
        <is>
          <t>Programs</t>
        </is>
      </c>
      <c r="C12" s="9" t="n">
        <v>46326</v>
      </c>
      <c r="D12" s="8">
        <f>IF(OR(C12="",E12="Done"),"",C12-TODAY())</f>
        <v/>
      </c>
      <c r="E12" s="10" t="inlineStr">
        <is>
          <t>Not started</t>
        </is>
      </c>
      <c r="F12" s="8" t="inlineStr">
        <is>
          <t>TARGET</t>
        </is>
      </c>
      <c r="G12" s="8" t="inlineStr">
        <is>
          <t>assumed</t>
        </is>
      </c>
      <c r="H12" s="8" t="inlineStr">
        <is>
          <t>This plan</t>
        </is>
      </c>
      <c r="I12" s="10" t="inlineStr"/>
    </row>
    <row r="13">
      <c r="A13" s="8" t="inlineStr">
        <is>
          <t>Tax advisor consult done; Beckham path decided (administrator route or standard autonomo)</t>
        </is>
      </c>
      <c r="B13" s="8" t="inlineStr">
        <is>
          <t>Tax</t>
        </is>
      </c>
      <c r="C13" s="9" t="n">
        <v>46341</v>
      </c>
      <c r="D13" s="8">
        <f>IF(OR(C13="",E13="Done"),"",C13-TODAY())</f>
        <v/>
      </c>
      <c r="E13" s="10" t="inlineStr">
        <is>
          <t>Not started</t>
        </is>
      </c>
      <c r="F13" s="8" t="inlineStr">
        <is>
          <t>TARGET</t>
        </is>
      </c>
      <c r="G13" s="8" t="inlineStr">
        <is>
          <t>assumed</t>
        </is>
      </c>
      <c r="H13" s="8" t="inlineStr">
        <is>
          <t>This plan</t>
        </is>
      </c>
      <c r="I13" s="10" t="inlineStr"/>
    </row>
    <row r="14">
      <c r="A14" s="8" t="inlineStr">
        <is>
          <t>If administrator route: LLC operating agreement amended</t>
        </is>
      </c>
      <c r="B14" s="8" t="inlineStr">
        <is>
          <t>Tax</t>
        </is>
      </c>
      <c r="C14" s="9" t="n">
        <v>46356</v>
      </c>
      <c r="D14" s="8">
        <f>IF(OR(C14="",E14="Done"),"",C14-TODAY())</f>
        <v/>
      </c>
      <c r="E14" s="10" t="inlineStr">
        <is>
          <t>Not started</t>
        </is>
      </c>
      <c r="F14" s="8" t="inlineStr">
        <is>
          <t>TARGET</t>
        </is>
      </c>
      <c r="G14" s="8" t="inlineStr">
        <is>
          <t>assumed</t>
        </is>
      </c>
      <c r="H14" s="8" t="inlineStr">
        <is>
          <t>Chat 1</t>
        </is>
      </c>
      <c r="I14" s="10" t="inlineStr"/>
    </row>
    <row r="15">
      <c r="A15" s="8" t="inlineStr">
        <is>
          <t>TBS Education Barcelona MSc application deadline for 2027 intake (2026 intake closed 2025-12-12)</t>
        </is>
      </c>
      <c r="B15" s="8" t="inlineStr">
        <is>
          <t>Programs</t>
        </is>
      </c>
      <c r="C15" s="9" t="n">
        <v>46357</v>
      </c>
      <c r="D15" s="8">
        <f>IF(OR(C15="",E15="Done"),"",C15-TODAY())</f>
        <v/>
      </c>
      <c r="E15" s="10" t="inlineStr">
        <is>
          <t>Not started</t>
        </is>
      </c>
      <c r="F15" s="8" t="inlineStr">
        <is>
          <t>EXTERNAL</t>
        </is>
      </c>
      <c r="G15" s="8" t="inlineStr">
        <is>
          <t>assumed</t>
        </is>
      </c>
      <c r="H15" s="8" t="inlineStr">
        <is>
          <t>Search snippet, 2026-09-09</t>
        </is>
      </c>
      <c r="I15" s="10" t="inlineStr">
        <is>
          <t>Month only. assumed</t>
        </is>
      </c>
    </row>
    <row r="16">
      <c r="A16" s="8" t="inlineStr">
        <is>
          <t>Contracts signed covering at least Jan to Dec 2027 at or above threshold</t>
        </is>
      </c>
      <c r="B16" s="8" t="inlineStr">
        <is>
          <t>Income</t>
        </is>
      </c>
      <c r="C16" s="9" t="n">
        <v>46371</v>
      </c>
      <c r="D16" s="8">
        <f>IF(OR(C16="",E16="Done"),"",C16-TODAY())</f>
        <v/>
      </c>
      <c r="E16" s="10" t="inlineStr">
        <is>
          <t>Not started</t>
        </is>
      </c>
      <c r="F16" s="8" t="inlineStr">
        <is>
          <t>TARGET</t>
        </is>
      </c>
      <c r="G16" s="8" t="inlineStr">
        <is>
          <t>assumed</t>
        </is>
      </c>
      <c r="H16" s="8" t="inlineStr">
        <is>
          <t>This plan</t>
        </is>
      </c>
      <c r="I16" s="10" t="inlineStr"/>
    </row>
    <row r="17">
      <c r="A17" s="8" t="inlineStr">
        <is>
          <t>Health insurance policy selected</t>
        </is>
      </c>
      <c r="B17" s="8" t="inlineStr">
        <is>
          <t>Immigration</t>
        </is>
      </c>
      <c r="C17" s="9" t="n">
        <v>46387</v>
      </c>
      <c r="D17" s="8">
        <f>IF(OR(C17="",E17="Done"),"",C17-TODAY())</f>
        <v/>
      </c>
      <c r="E17" s="10" t="inlineStr">
        <is>
          <t>Not started</t>
        </is>
      </c>
      <c r="F17" s="8" t="inlineStr">
        <is>
          <t>TARGET</t>
        </is>
      </c>
      <c r="G17" s="8" t="inlineStr">
        <is>
          <t>assumed</t>
        </is>
      </c>
      <c r="H17" s="8" t="inlineStr">
        <is>
          <t>This plan</t>
        </is>
      </c>
      <c r="I17" s="10" t="inlineStr"/>
    </row>
    <row r="18">
      <c r="A18" s="8" t="inlineStr">
        <is>
          <t>FBI background check ordered</t>
        </is>
      </c>
      <c r="B18" s="8" t="inlineStr">
        <is>
          <t>Immigration</t>
        </is>
      </c>
      <c r="C18" s="9" t="n">
        <v>46387</v>
      </c>
      <c r="D18" s="8">
        <f>IF(OR(C18="",E18="Done"),"",C18-TODAY())</f>
        <v/>
      </c>
      <c r="E18" s="10" t="inlineStr">
        <is>
          <t>Not started</t>
        </is>
      </c>
      <c r="F18" s="8" t="inlineStr">
        <is>
          <t>TARGET</t>
        </is>
      </c>
      <c r="G18" s="8" t="inlineStr">
        <is>
          <t>assumed</t>
        </is>
      </c>
      <c r="H18" s="8" t="inlineStr">
        <is>
          <t>Chat 2</t>
        </is>
      </c>
      <c r="I18" s="10" t="inlineStr"/>
    </row>
    <row r="19">
      <c r="A19" s="8" t="inlineStr">
        <is>
          <t>Spanish milestone: 2500 words, can handle landlord or bank call</t>
        </is>
      </c>
      <c r="B19" s="8" t="inlineStr">
        <is>
          <t>Spanish</t>
        </is>
      </c>
      <c r="C19" s="9" t="n">
        <v>46418</v>
      </c>
      <c r="D19" s="8">
        <f>IF(OR(C19="",E19="Done"),"",C19-TODAY())</f>
        <v/>
      </c>
      <c r="E19" s="10" t="inlineStr">
        <is>
          <t>Not started</t>
        </is>
      </c>
      <c r="F19" s="8" t="inlineStr">
        <is>
          <t>TARGET</t>
        </is>
      </c>
      <c r="G19" s="8" t="inlineStr">
        <is>
          <t>confirmed</t>
        </is>
      </c>
      <c r="H19" s="8" t="inlineStr">
        <is>
          <t>Spanish plan</t>
        </is>
      </c>
      <c r="I19" s="10" t="inlineStr"/>
    </row>
    <row r="20">
      <c r="A20" s="8" t="inlineStr">
        <is>
          <t>Apostille chain started for all documents</t>
        </is>
      </c>
      <c r="B20" s="8" t="inlineStr">
        <is>
          <t>Immigration</t>
        </is>
      </c>
      <c r="C20" s="9" t="n">
        <v>46418</v>
      </c>
      <c r="D20" s="8">
        <f>IF(OR(C20="",E20="Done"),"",C20-TODAY())</f>
        <v/>
      </c>
      <c r="E20" s="10" t="inlineStr">
        <is>
          <t>Not started</t>
        </is>
      </c>
      <c r="F20" s="8" t="inlineStr">
        <is>
          <t>TARGET</t>
        </is>
      </c>
      <c r="G20" s="8" t="inlineStr">
        <is>
          <t>assumed</t>
        </is>
      </c>
      <c r="H20" s="8" t="inlineStr">
        <is>
          <t>Chat 1</t>
        </is>
      </c>
      <c r="I20" s="10" t="inlineStr"/>
    </row>
    <row r="21">
      <c r="A21" s="8" t="inlineStr">
        <is>
          <t>Catalonia school preinscripcio 2027-28 for I3 to I5; 2026-27 window was March 4 to 18. Late filing loses priority points</t>
        </is>
      </c>
      <c r="B21" s="8" t="inlineStr">
        <is>
          <t>Kindergarten</t>
        </is>
      </c>
      <c r="C21" s="9" t="n">
        <v>46447</v>
      </c>
      <c r="D21" s="8">
        <f>IF(OR(C21="",E21="Done"),"",C21-TODAY())</f>
        <v/>
      </c>
      <c r="E21" s="10" t="inlineStr">
        <is>
          <t>Not started</t>
        </is>
      </c>
      <c r="F21" s="8" t="inlineStr">
        <is>
          <t>EXTERNAL</t>
        </is>
      </c>
      <c r="G21" s="8" t="inlineStr">
        <is>
          <t>assumed</t>
        </is>
      </c>
      <c r="H21" s="8" t="inlineStr">
        <is>
          <t>preinscripcio.gencat.cat via search, 2026-09-09</t>
        </is>
      </c>
      <c r="I21" s="10" t="inlineStr">
        <is>
          <t>Month only. early, assumed</t>
        </is>
      </c>
    </row>
    <row r="22">
      <c r="A22" s="8" t="inlineStr">
        <is>
          <t>Sworn translations ordered</t>
        </is>
      </c>
      <c r="B22" s="8" t="inlineStr">
        <is>
          <t>Immigration</t>
        </is>
      </c>
      <c r="C22" s="9" t="n">
        <v>46461</v>
      </c>
      <c r="D22" s="8">
        <f>IF(OR(C22="",E22="Done"),"",C22-TODAY())</f>
        <v/>
      </c>
      <c r="E22" s="10" t="inlineStr">
        <is>
          <t>Not started</t>
        </is>
      </c>
      <c r="F22" s="8" t="inlineStr">
        <is>
          <t>TARGET</t>
        </is>
      </c>
      <c r="G22" s="8" t="inlineStr">
        <is>
          <t>assumed</t>
        </is>
      </c>
      <c r="H22" s="8" t="inlineStr">
        <is>
          <t>Chat 1</t>
        </is>
      </c>
      <c r="I22" s="10" t="inlineStr"/>
    </row>
    <row r="23">
      <c r="A23" s="8" t="inlineStr">
        <is>
          <t>Visa packet complete</t>
        </is>
      </c>
      <c r="B23" s="8" t="inlineStr">
        <is>
          <t>Immigration</t>
        </is>
      </c>
      <c r="C23" s="9" t="n">
        <v>46477</v>
      </c>
      <c r="D23" s="8">
        <f>IF(OR(C23="",E23="Done"),"",C23-TODAY())</f>
        <v/>
      </c>
      <c r="E23" s="10" t="inlineStr">
        <is>
          <t>Not started</t>
        </is>
      </c>
      <c r="F23" s="8" t="inlineStr">
        <is>
          <t>TARGET</t>
        </is>
      </c>
      <c r="G23" s="8" t="inlineStr">
        <is>
          <t>assumed</t>
        </is>
      </c>
      <c r="H23" s="8" t="inlineStr">
        <is>
          <t>Chat 1</t>
        </is>
      </c>
      <c r="I23" s="10" t="inlineStr"/>
    </row>
    <row r="24">
      <c r="A24" s="8" t="inlineStr">
        <is>
          <t>DNV filed (consular EX-01) or in-country plan locked</t>
        </is>
      </c>
      <c r="B24" s="8" t="inlineStr">
        <is>
          <t>Immigration</t>
        </is>
      </c>
      <c r="C24" s="9" t="n">
        <v>46492</v>
      </c>
      <c r="D24" s="8">
        <f>IF(OR(C24="",E24="Done"),"",C24-TODAY())</f>
        <v/>
      </c>
      <c r="E24" s="10" t="inlineStr">
        <is>
          <t>Not started</t>
        </is>
      </c>
      <c r="F24" s="8" t="inlineStr">
        <is>
          <t>TARGET</t>
        </is>
      </c>
      <c r="G24" s="8" t="inlineStr">
        <is>
          <t>assumed</t>
        </is>
      </c>
      <c r="H24" s="8" t="inlineStr">
        <is>
          <t>Chat 1</t>
        </is>
      </c>
      <c r="I24" s="10" t="inlineStr"/>
    </row>
    <row r="25">
      <c r="A25" s="8" t="inlineStr">
        <is>
          <t>Spanish milestone: B1, unstructured conversation without English</t>
        </is>
      </c>
      <c r="B25" s="8" t="inlineStr">
        <is>
          <t>Spanish</t>
        </is>
      </c>
      <c r="C25" s="9" t="n">
        <v>46507</v>
      </c>
      <c r="D25" s="8">
        <f>IF(OR(C25="",E25="Done"),"",C25-TODAY())</f>
        <v/>
      </c>
      <c r="E25" s="10" t="inlineStr">
        <is>
          <t>Not started</t>
        </is>
      </c>
      <c r="F25" s="8" t="inlineStr">
        <is>
          <t>TARGET</t>
        </is>
      </c>
      <c r="G25" s="8" t="inlineStr">
        <is>
          <t>confirmed</t>
        </is>
      </c>
      <c r="H25" s="8" t="inlineStr">
        <is>
          <t>Spanish plan</t>
        </is>
      </c>
      <c r="I25" s="10" t="inlineStr"/>
    </row>
    <row r="26">
      <c r="A26" s="8" t="inlineStr">
        <is>
          <t>BTS Master in Digital Transformation and AI Leadership deadline for September 2027 intake</t>
        </is>
      </c>
      <c r="B26" s="8" t="inlineStr">
        <is>
          <t>Programs</t>
        </is>
      </c>
      <c r="C26" s="9" t="n">
        <v>46539</v>
      </c>
      <c r="D26" s="8">
        <f>IF(OR(C26="",E26="Done"),"",C26-TODAY())</f>
        <v/>
      </c>
      <c r="E26" s="10" t="inlineStr">
        <is>
          <t>Not started</t>
        </is>
      </c>
      <c r="F26" s="8" t="inlineStr">
        <is>
          <t>EXTERNAL</t>
        </is>
      </c>
      <c r="G26" s="8" t="inlineStr">
        <is>
          <t>assumed</t>
        </is>
      </c>
      <c r="H26" s="8" t="inlineStr">
        <is>
          <t>Aggregator, 2026-09-09</t>
        </is>
      </c>
      <c r="I26" s="10" t="inlineStr">
        <is>
          <t>Month only. assumed</t>
        </is>
      </c>
    </row>
    <row r="27">
      <c r="A27" s="8" t="inlineStr">
        <is>
          <t>Arrival in Barcelona</t>
        </is>
      </c>
      <c r="B27" s="8" t="inlineStr">
        <is>
          <t>Move</t>
        </is>
      </c>
      <c r="C27" s="9" t="n">
        <v>46508</v>
      </c>
      <c r="D27" s="8">
        <f>IF(OR(C27="",E27="Done"),"",C27-TODAY())</f>
        <v/>
      </c>
      <c r="E27" s="10" t="inlineStr">
        <is>
          <t>Not started</t>
        </is>
      </c>
      <c r="F27" s="8" t="inlineStr">
        <is>
          <t>TARGET</t>
        </is>
      </c>
      <c r="G27" s="8" t="inlineStr">
        <is>
          <t>assumed</t>
        </is>
      </c>
      <c r="H27" s="8" t="inlineStr">
        <is>
          <t>User</t>
        </is>
      </c>
      <c r="I27" s="10" t="inlineStr">
        <is>
          <t>Month only. date TBD</t>
        </is>
      </c>
    </row>
    <row r="28">
      <c r="A28" s="8" t="inlineStr">
        <is>
          <t>Dog EU health certificate issued</t>
        </is>
      </c>
      <c r="B28" s="8" t="inlineStr">
        <is>
          <t>Move</t>
        </is>
      </c>
      <c r="C28" s="9" t="n"/>
      <c r="D28" s="8">
        <f>IF(OR(C28="",E28="Done"),"",C28-TODAY())</f>
        <v/>
      </c>
      <c r="E28" s="10" t="inlineStr">
        <is>
          <t>Not started</t>
        </is>
      </c>
      <c r="F28" s="8" t="inlineStr">
        <is>
          <t>RELATIVE</t>
        </is>
      </c>
      <c r="G28" s="8" t="inlineStr">
        <is>
          <t>confirmed</t>
        </is>
      </c>
      <c r="H28" s="8" t="inlineStr">
        <is>
          <t>Chat 2</t>
        </is>
      </c>
      <c r="I28" s="10" t="inlineStr">
        <is>
          <t>Arrival minus 10 days</t>
        </is>
      </c>
    </row>
    <row r="29">
      <c r="A29" s="8" t="inlineStr">
        <is>
          <t>Empadronamiento registered</t>
        </is>
      </c>
      <c r="B29" s="8" t="inlineStr">
        <is>
          <t>Move</t>
        </is>
      </c>
      <c r="C29" s="9" t="n"/>
      <c r="D29" s="8">
        <f>IF(OR(C29="",E29="Done"),"",C29-TODAY())</f>
        <v/>
      </c>
      <c r="E29" s="10" t="inlineStr">
        <is>
          <t>Not started</t>
        </is>
      </c>
      <c r="F29" s="8" t="inlineStr">
        <is>
          <t>RELATIVE</t>
        </is>
      </c>
      <c r="G29" s="8" t="inlineStr">
        <is>
          <t>assumed</t>
        </is>
      </c>
      <c r="H29" s="8" t="inlineStr">
        <is>
          <t>Chat 3</t>
        </is>
      </c>
      <c r="I29" s="10" t="inlineStr">
        <is>
          <t>Arrival plus 30 days</t>
        </is>
      </c>
    </row>
    <row r="30">
      <c r="A30" s="8" t="inlineStr">
        <is>
          <t>If in-country EX-11 route: must file within 90 days of visa-free entry</t>
        </is>
      </c>
      <c r="B30" s="8" t="inlineStr">
        <is>
          <t>Immigration</t>
        </is>
      </c>
      <c r="C30" s="9" t="n"/>
      <c r="D30" s="8">
        <f>IF(OR(C30="",E30="Done"),"",C30-TODAY())</f>
        <v/>
      </c>
      <c r="E30" s="10" t="inlineStr">
        <is>
          <t>Not started</t>
        </is>
      </c>
      <c r="F30" s="8" t="inlineStr">
        <is>
          <t>RELATIVE</t>
        </is>
      </c>
      <c r="G30" s="8" t="inlineStr">
        <is>
          <t>confirmed</t>
        </is>
      </c>
      <c r="H30" s="8" t="inlineStr">
        <is>
          <t>Chat 1</t>
        </is>
      </c>
      <c r="I30" s="10" t="inlineStr">
        <is>
          <t>Arrival plus 90 days</t>
        </is>
      </c>
    </row>
    <row r="31">
      <c r="A31" s="8" t="inlineStr">
        <is>
          <t>Modelo 149 (Beckham) filed, only if eligible</t>
        </is>
      </c>
      <c r="B31" s="8" t="inlineStr">
        <is>
          <t>Tax</t>
        </is>
      </c>
      <c r="C31" s="9" t="n"/>
      <c r="D31" s="8">
        <f>IF(OR(C31="",E31="Done"),"",C31-TODAY())</f>
        <v/>
      </c>
      <c r="E31" s="10" t="inlineStr">
        <is>
          <t>Not started</t>
        </is>
      </c>
      <c r="F31" s="8" t="inlineStr">
        <is>
          <t>RELATIVE</t>
        </is>
      </c>
      <c r="G31" s="8" t="inlineStr">
        <is>
          <t>confirmed</t>
        </is>
      </c>
      <c r="H31" s="8" t="inlineStr">
        <is>
          <t>Chat 1</t>
        </is>
      </c>
      <c r="I31" s="10" t="inlineStr">
        <is>
          <t>SS registration plus 6 months</t>
        </is>
      </c>
    </row>
    <row r="32">
      <c r="A32" s="8" t="inlineStr">
        <is>
          <t>ELISAVA 2027 intake application deadline</t>
        </is>
      </c>
      <c r="B32" s="8" t="inlineStr">
        <is>
          <t>Programs</t>
        </is>
      </c>
      <c r="C32" s="9" t="n">
        <v>46638</v>
      </c>
      <c r="D32" s="8">
        <f>IF(OR(C32="",E32="Done"),"",C32-TODAY())</f>
        <v/>
      </c>
      <c r="E32" s="10" t="inlineStr">
        <is>
          <t>Not started</t>
        </is>
      </c>
      <c r="F32" s="8" t="inlineStr">
        <is>
          <t>EXTERNAL</t>
        </is>
      </c>
      <c r="G32" s="8" t="inlineStr">
        <is>
          <t>assumed, same as 2026</t>
        </is>
      </c>
      <c r="H32" s="8" t="inlineStr">
        <is>
          <t>User, 2026-09-09</t>
        </is>
      </c>
      <c r="I32" s="10" t="inlineStr"/>
    </row>
    <row r="33">
      <c r="A33" s="8" t="inlineStr">
        <is>
          <t>Program start</t>
        </is>
      </c>
      <c r="B33" s="8" t="inlineStr">
        <is>
          <t>Programs</t>
        </is>
      </c>
      <c r="C33" s="9" t="n">
        <v>46631</v>
      </c>
      <c r="D33" s="8">
        <f>IF(OR(C33="",E33="Done"),"",C33-TODAY())</f>
        <v/>
      </c>
      <c r="E33" s="10" t="inlineStr">
        <is>
          <t>Not started</t>
        </is>
      </c>
      <c r="F33" s="8" t="inlineStr">
        <is>
          <t>EXTERNAL</t>
        </is>
      </c>
      <c r="G33" s="8" t="inlineStr">
        <is>
          <t>not verified</t>
        </is>
      </c>
      <c r="H33" s="8" t="inlineStr"/>
      <c r="I33" s="10" t="inlineStr">
        <is>
          <t>Month only. or 2027-10</t>
        </is>
      </c>
    </row>
    <row r="34">
      <c r="A34" s="8" t="inlineStr">
        <is>
          <t>DNV renewal; income re-proven over prior 3 to 6 months</t>
        </is>
      </c>
      <c r="B34" s="8" t="inlineStr">
        <is>
          <t>Immigration</t>
        </is>
      </c>
      <c r="C34" s="9" t="n"/>
      <c r="D34" s="8">
        <f>IF(OR(C34="",E34="Done"),"",C34-TODAY())</f>
        <v/>
      </c>
      <c r="E34" s="10" t="inlineStr">
        <is>
          <t>Not started</t>
        </is>
      </c>
      <c r="F34" s="8" t="inlineStr">
        <is>
          <t>RELATIVE</t>
        </is>
      </c>
      <c r="G34" s="8" t="inlineStr">
        <is>
          <t>confirmed</t>
        </is>
      </c>
      <c r="H34" s="8" t="inlineStr">
        <is>
          <t>Chat 1</t>
        </is>
      </c>
      <c r="I34" s="10" t="inlineStr">
        <is>
          <t>Filing plus 1 year (consular) or 3 years (in-country)</t>
        </is>
      </c>
    </row>
  </sheetData>
  <autoFilter ref="A1:I34"/>
  <conditionalFormatting sqref="A2:I34">
    <cfRule type="expression" priority="1" dxfId="0">
      <formula>AND($D2&lt;&gt;"",$D2&lt;0)</formula>
    </cfRule>
    <cfRule type="expression" priority="2" dxfId="1">
      <formula>AND($D2&lt;&gt;"",$D2&gt;=0,$D2&lt;=14)</formula>
    </cfRule>
    <cfRule type="expression" priority="3" dxfId="2">
      <formula>$E2="Done"</formula>
    </cfRule>
  </conditionalFormatting>
  <dataValidations count="2">
    <dataValidation sqref="E2:E34" showDropDown="0" showInputMessage="0" showErrorMessage="0" allowBlank="1" type="list">
      <formula1>"Not started,In progress,Waiting on,At risk,Overdue,Done"</formula1>
    </dataValidation>
    <dataValidation sqref="B2:B34" showDropDown="0" showInputMessage="0" showErrorMessage="0" allowBlank="1" type="list">
      <formula1>"Programs,Immigration,Tax,Income,Trip,Outreach,Kindergarten,Spanish,Move,Housing,Work,Dog"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0" customWidth="1" min="3" max="3"/>
    <col width="12" customWidth="1" min="4" max="4"/>
    <col width="13" customWidth="1" min="5" max="5"/>
    <col width="40" customWidth="1" min="6" max="6"/>
  </cols>
  <sheetData>
    <row r="1">
      <c r="A1" s="7" t="inlineStr">
        <is>
          <t>Month</t>
        </is>
      </c>
      <c r="B1" s="7" t="inlineStr">
        <is>
          <t>Workstream</t>
        </is>
      </c>
      <c r="C1" s="7" t="inlineStr">
        <is>
          <t>Action</t>
        </is>
      </c>
      <c r="D1" s="7" t="inlineStr">
        <is>
          <t>Due</t>
        </is>
      </c>
      <c r="E1" s="7" t="inlineStr">
        <is>
          <t>Status</t>
        </is>
      </c>
      <c r="F1" s="7" t="inlineStr">
        <is>
          <t>Notes</t>
        </is>
      </c>
    </row>
    <row r="2">
      <c r="A2" s="11" t="n">
        <v>46266</v>
      </c>
      <c r="B2" s="8" t="inlineStr">
        <is>
          <t>Income</t>
        </is>
      </c>
      <c r="C2" s="8" t="inlineStr">
        <is>
          <t>Inventory every current client: contract end date, monthly value, entity type, country.</t>
        </is>
      </c>
      <c r="D2" s="9" t="n">
        <v>46295</v>
      </c>
      <c r="E2" s="10" t="inlineStr">
        <is>
          <t>Not started</t>
        </is>
      </c>
      <c r="F2" s="10" t="inlineStr"/>
    </row>
    <row r="3">
      <c r="A3" s="11" t="n">
        <v>46266</v>
      </c>
      <c r="B3" s="8" t="inlineStr">
        <is>
          <t>Income</t>
        </is>
      </c>
      <c r="C3" s="8" t="inlineStr">
        <is>
          <t>Gap analysis Oct 2026 to Dec 2027 against 5,400 to 5,900 USD per month.</t>
        </is>
      </c>
      <c r="D3" s="9" t="n">
        <v>46295</v>
      </c>
      <c r="E3" s="10" t="inlineStr">
        <is>
          <t>Not started</t>
        </is>
      </c>
      <c r="F3" s="10" t="inlineStr"/>
    </row>
    <row r="4">
      <c r="A4" s="11" t="n">
        <v>46266</v>
      </c>
      <c r="B4" s="8" t="inlineStr">
        <is>
          <t>Income</t>
        </is>
      </c>
      <c r="C4" s="8" t="inlineStr">
        <is>
          <t>Route all client deposits to one business account; invoice monthly.</t>
        </is>
      </c>
      <c r="D4" s="9" t="n">
        <v>46296</v>
      </c>
      <c r="E4" s="10" t="inlineStr">
        <is>
          <t>Not started</t>
        </is>
      </c>
      <c r="F4" s="10" t="inlineStr"/>
    </row>
    <row r="5">
      <c r="A5" s="11" t="n">
        <v>46266</v>
      </c>
      <c r="B5" s="8" t="inlineStr">
        <is>
          <t>Programs</t>
        </is>
      </c>
      <c r="C5" s="8" t="inlineStr">
        <is>
          <t>Record ELISAVA's answer: 2027 intake not confirmed (received 2026-09-09).</t>
        </is>
      </c>
      <c r="D5" s="9" t="n"/>
      <c r="E5" s="10" t="inlineStr">
        <is>
          <t>Not started</t>
        </is>
      </c>
      <c r="F5" s="10" t="inlineStr"/>
    </row>
    <row r="6">
      <c r="A6" s="11" t="n">
        <v>46266</v>
      </c>
      <c r="B6" s="8" t="inlineStr">
        <is>
          <t>Programs</t>
        </is>
      </c>
      <c r="C6" s="8" t="inlineStr">
        <is>
          <t>Email the seven new schools (BTS, TBS, EAE Barcelona, ESIC, IED, La Salle MSc, Comillas) for: 2027 intake deadline, syllabus with coding content, language, schedule, degree type, tuition.</t>
        </is>
      </c>
      <c r="D6" s="9" t="n">
        <v>46295</v>
      </c>
      <c r="E6" s="10" t="inlineStr">
        <is>
          <t>Not started</t>
        </is>
      </c>
      <c r="F6" s="10" t="inlineStr"/>
    </row>
    <row r="7">
      <c r="A7" s="11" t="n">
        <v>46266</v>
      </c>
      <c r="B7" s="8" t="inlineStr">
        <is>
          <t>Programs</t>
        </is>
      </c>
      <c r="C7" s="8" t="inlineStr">
        <is>
          <t>Verify each answer against the hard rules and move the program to shortlisted or eliminated.</t>
        </is>
      </c>
      <c r="D7" s="9" t="n"/>
      <c r="E7" s="10" t="inlineStr">
        <is>
          <t>Not started</t>
        </is>
      </c>
      <c r="F7" s="10" t="inlineStr"/>
    </row>
    <row r="8">
      <c r="A8" s="11" t="n">
        <v>46266</v>
      </c>
      <c r="B8" s="8" t="inlineStr">
        <is>
          <t>Trip</t>
        </is>
      </c>
      <c r="C8" s="8" t="inlineStr">
        <is>
          <t>Fix dates and book flights.</t>
        </is>
      </c>
      <c r="D8" s="9" t="n">
        <v>46295</v>
      </c>
      <c r="E8" s="10" t="inlineStr">
        <is>
          <t>Not started</t>
        </is>
      </c>
      <c r="F8" s="10" t="inlineStr"/>
    </row>
    <row r="9">
      <c r="A9" s="11" t="n">
        <v>46266</v>
      </c>
      <c r="B9" s="8" t="inlineStr">
        <is>
          <t>Trip</t>
        </is>
      </c>
      <c r="C9" s="8" t="inlineStr">
        <is>
          <t>Book accommodation in a candidate neighborhood.</t>
        </is>
      </c>
      <c r="D9" s="9" t="n">
        <v>46295</v>
      </c>
      <c r="E9" s="10" t="inlineStr">
        <is>
          <t>Not started</t>
        </is>
      </c>
      <c r="F9" s="10" t="inlineStr"/>
    </row>
    <row r="10">
      <c r="A10" s="11" t="n">
        <v>46266</v>
      </c>
      <c r="B10" s="8" t="inlineStr">
        <is>
          <t>Trip</t>
        </is>
      </c>
      <c r="C10" s="8" t="inlineStr">
        <is>
          <t>Request admissions meetings.</t>
        </is>
      </c>
      <c r="D10" s="9" t="n">
        <v>46295</v>
      </c>
      <c r="E10" s="10" t="inlineStr">
        <is>
          <t>Not started</t>
        </is>
      </c>
      <c r="F10" s="10" t="inlineStr"/>
    </row>
    <row r="11">
      <c r="A11" s="11" t="n">
        <v>46266</v>
      </c>
      <c r="B11" s="8" t="inlineStr">
        <is>
          <t>Immigration</t>
        </is>
      </c>
      <c r="C11" s="8" t="inlineStr">
        <is>
          <t>Verify which consulate covers Colorado.</t>
        </is>
      </c>
      <c r="D11" s="9" t="n">
        <v>46295</v>
      </c>
      <c r="E11" s="10" t="inlineStr">
        <is>
          <t>Not started</t>
        </is>
      </c>
      <c r="F11" s="10" t="inlineStr"/>
    </row>
    <row r="12">
      <c r="A12" s="11" t="n">
        <v>46266</v>
      </c>
      <c r="B12" s="8" t="inlineStr">
        <is>
          <t>Immigration</t>
        </is>
      </c>
      <c r="C12" s="8" t="inlineStr">
        <is>
          <t>Book NIE appointment; prepare EX-15, passport copy, fee 790-012.</t>
        </is>
      </c>
      <c r="D12" s="9" t="n"/>
      <c r="E12" s="10" t="inlineStr">
        <is>
          <t>Not started</t>
        </is>
      </c>
      <c r="F12" s="10" t="inlineStr"/>
    </row>
    <row r="13">
      <c r="A13" s="11" t="n">
        <v>46266</v>
      </c>
      <c r="B13" s="8" t="inlineStr">
        <is>
          <t>Immigration</t>
        </is>
      </c>
      <c r="C13" s="8" t="inlineStr">
        <is>
          <t>Check all three passports valid to at least May 2028.</t>
        </is>
      </c>
      <c r="D13" s="9" t="n"/>
      <c r="E13" s="10" t="inlineStr">
        <is>
          <t>Not started</t>
        </is>
      </c>
      <c r="F13" s="10" t="inlineStr"/>
    </row>
    <row r="14">
      <c r="A14" s="11" t="n">
        <v>46266</v>
      </c>
      <c r="B14" s="8" t="inlineStr">
        <is>
          <t>Immigration</t>
        </is>
      </c>
      <c r="C14" s="8" t="inlineStr">
        <is>
          <t>Pull LLC documents: articles, operating agreement, 3 to 6 months statements, contracts, invoices.</t>
        </is>
      </c>
      <c r="D14" s="9" t="n"/>
      <c r="E14" s="10" t="inlineStr">
        <is>
          <t>Not started</t>
        </is>
      </c>
      <c r="F14" s="10" t="inlineStr"/>
    </row>
    <row r="15">
      <c r="A15" s="11" t="n">
        <v>46266</v>
      </c>
      <c r="B15" s="8" t="inlineStr">
        <is>
          <t>Immigration</t>
        </is>
      </c>
      <c r="C15" s="8" t="inlineStr">
        <is>
          <t>Request health insurance quotes (full coverage, no copays, no waiting period).</t>
        </is>
      </c>
      <c r="D15" s="9" t="n"/>
      <c r="E15" s="10" t="inlineStr">
        <is>
          <t>Not started</t>
        </is>
      </c>
      <c r="F15" s="10" t="inlineStr"/>
    </row>
    <row r="16">
      <c r="A16" s="11" t="n">
        <v>46266</v>
      </c>
      <c r="B16" s="8" t="inlineStr">
        <is>
          <t>Tax</t>
        </is>
      </c>
      <c r="C16" s="8" t="inlineStr">
        <is>
          <t>Book the Spanish cross-border tax advisor consult (Beckham for LLC owner).</t>
        </is>
      </c>
      <c r="D16" s="9" t="n"/>
      <c r="E16" s="10" t="inlineStr">
        <is>
          <t>Not started</t>
        </is>
      </c>
      <c r="F16" s="10" t="inlineStr"/>
    </row>
    <row r="17">
      <c r="A17" s="11" t="n">
        <v>46266</v>
      </c>
      <c r="B17" s="8" t="inlineStr">
        <is>
          <t>Spanish</t>
        </is>
      </c>
      <c r="C17" s="8" t="inlineStr">
        <is>
          <t>Daily template. Start tutoring by week 3 of the plan if not started.</t>
        </is>
      </c>
      <c r="D17" s="9" t="n"/>
      <c r="E17" s="10" t="inlineStr">
        <is>
          <t>Not started</t>
        </is>
      </c>
      <c r="F17" s="10" t="inlineStr"/>
    </row>
    <row r="18">
      <c r="A18" s="11" t="n">
        <v>46266</v>
      </c>
      <c r="B18" s="8" t="inlineStr">
        <is>
          <t>Dog</t>
        </is>
      </c>
      <c r="C18" s="8" t="inlineStr">
        <is>
          <t>Vet: confirm microchip and rabies vaccine current.</t>
        </is>
      </c>
      <c r="D18" s="9" t="n"/>
      <c r="E18" s="10" t="inlineStr">
        <is>
          <t>Not started</t>
        </is>
      </c>
      <c r="F18" s="10" t="inlineStr"/>
    </row>
    <row r="19">
      <c r="A19" s="11" t="n">
        <v>46296</v>
      </c>
      <c r="B19" s="8" t="inlineStr">
        <is>
          <t>Income</t>
        </is>
      </c>
      <c r="C19" s="8" t="inlineStr">
        <is>
          <t>Evidence window opens 10-01: every month from now must show deposits at or above threshold.</t>
        </is>
      </c>
      <c r="D19" s="9" t="n"/>
      <c r="E19" s="10" t="inlineStr">
        <is>
          <t>Not started</t>
        </is>
      </c>
      <c r="F19" s="10" t="inlineStr"/>
    </row>
    <row r="20">
      <c r="A20" s="11" t="n">
        <v>46296</v>
      </c>
      <c r="B20" s="8" t="inlineStr">
        <is>
          <t>Income</t>
        </is>
      </c>
      <c r="C20" s="8" t="inlineStr">
        <is>
          <t>Pipeline list of retainer prospects.</t>
        </is>
      </c>
      <c r="D20" s="9" t="n">
        <v>46310</v>
      </c>
      <c r="E20" s="10" t="inlineStr">
        <is>
          <t>Not started</t>
        </is>
      </c>
      <c r="F20" s="10" t="inlineStr"/>
    </row>
    <row r="21">
      <c r="A21" s="11" t="n">
        <v>46296</v>
      </c>
      <c r="B21" s="8" t="inlineStr">
        <is>
          <t>Income</t>
        </is>
      </c>
      <c r="C21" s="8" t="inlineStr">
        <is>
          <t>Send retainer or extension proposals.</t>
        </is>
      </c>
      <c r="D21" s="9" t="n">
        <v>46326</v>
      </c>
      <c r="E21" s="10" t="inlineStr">
        <is>
          <t>Not started</t>
        </is>
      </c>
      <c r="F21" s="10" t="inlineStr"/>
    </row>
    <row r="22">
      <c r="A22" s="11" t="n">
        <v>46296</v>
      </c>
      <c r="B22" s="8" t="inlineStr">
        <is>
          <t>Income</t>
        </is>
      </c>
      <c r="C22" s="8" t="inlineStr">
        <is>
          <t>Ask the bank how to get stamped statements.</t>
        </is>
      </c>
      <c r="D22" s="9" t="n">
        <v>46326</v>
      </c>
      <c r="E22" s="10" t="inlineStr">
        <is>
          <t>Not started</t>
        </is>
      </c>
      <c r="F22" s="10" t="inlineStr"/>
    </row>
    <row r="23">
      <c r="A23" s="11" t="n">
        <v>46296</v>
      </c>
      <c r="B23" s="8" t="inlineStr">
        <is>
          <t>Income</t>
        </is>
      </c>
      <c r="C23" s="8" t="inlineStr">
        <is>
          <t>Log October deposits in the evidence log.</t>
        </is>
      </c>
      <c r="D23" s="9" t="n"/>
      <c r="E23" s="10" t="inlineStr">
        <is>
          <t>Not started</t>
        </is>
      </c>
      <c r="F23" s="10" t="inlineStr"/>
    </row>
    <row r="24">
      <c r="A24" s="11" t="n">
        <v>46296</v>
      </c>
      <c r="B24" s="8" t="inlineStr">
        <is>
          <t>Outreach</t>
        </is>
      </c>
      <c r="C24" s="8" t="inlineStr">
        <is>
          <t>Send Salesforce partner outreach.</t>
        </is>
      </c>
      <c r="D24" s="9" t="n">
        <v>46310</v>
      </c>
      <c r="E24" s="10" t="inlineStr">
        <is>
          <t>Not started</t>
        </is>
      </c>
      <c r="F24" s="10" t="inlineStr"/>
    </row>
    <row r="25">
      <c r="A25" s="11" t="n">
        <v>46296</v>
      </c>
      <c r="B25" s="8" t="inlineStr">
        <is>
          <t>Outreach</t>
        </is>
      </c>
      <c r="C25" s="8" t="inlineStr">
        <is>
          <t>Hold partner meetings during the trip. Log outcomes.</t>
        </is>
      </c>
      <c r="D25" s="9" t="n"/>
      <c r="E25" s="10" t="inlineStr">
        <is>
          <t>Not started</t>
        </is>
      </c>
      <c r="F25" s="10" t="inlineStr"/>
    </row>
    <row r="26">
      <c r="A26" s="11" t="n">
        <v>46296</v>
      </c>
      <c r="B26" s="8" t="inlineStr">
        <is>
          <t>Kindergarten</t>
        </is>
      </c>
      <c r="C26" s="8" t="inlineStr">
        <is>
          <t>Record the daughter's birth date and 2027 school year.</t>
        </is>
      </c>
      <c r="D26" s="9" t="n">
        <v>46295</v>
      </c>
      <c r="E26" s="10" t="inlineStr">
        <is>
          <t>Not started</t>
        </is>
      </c>
      <c r="F26" s="10" t="inlineStr"/>
    </row>
    <row r="27">
      <c r="A27" s="11" t="n">
        <v>46296</v>
      </c>
      <c r="B27" s="8" t="inlineStr">
        <is>
          <t>Kindergarten</t>
        </is>
      </c>
      <c r="C27" s="8" t="inlineStr">
        <is>
          <t>Ask the Consorci d'Educacio whether the March 2027 preinscripcio can be filed from abroad.</t>
        </is>
      </c>
      <c r="D27" s="9" t="n">
        <v>46326</v>
      </c>
      <c r="E27" s="10" t="inlineStr">
        <is>
          <t>Not started</t>
        </is>
      </c>
      <c r="F27" s="10" t="inlineStr"/>
    </row>
    <row r="28">
      <c r="A28" s="11" t="n">
        <v>46296</v>
      </c>
      <c r="B28" s="8" t="inlineStr">
        <is>
          <t>Trip</t>
        </is>
      </c>
      <c r="C28" s="8" t="inlineStr">
        <is>
          <t>EU Business School open day October 23, 16:00 to 18:00, if dates align.</t>
        </is>
      </c>
      <c r="D28" s="9" t="n"/>
      <c r="E28" s="10" t="inlineStr">
        <is>
          <t>Not started</t>
        </is>
      </c>
      <c r="F28" s="10" t="inlineStr"/>
    </row>
    <row r="29">
      <c r="A29" s="11" t="n">
        <v>46296</v>
      </c>
      <c r="B29" s="8" t="inlineStr">
        <is>
          <t>Trip</t>
        </is>
      </c>
      <c r="C29" s="8" t="inlineStr">
        <is>
          <t>Kindergarten and school visits requested.</t>
        </is>
      </c>
      <c r="D29" s="9" t="n">
        <v>46300</v>
      </c>
      <c r="E29" s="10" t="inlineStr">
        <is>
          <t>Not started</t>
        </is>
      </c>
      <c r="F29" s="10" t="inlineStr"/>
    </row>
    <row r="30">
      <c r="A30" s="11" t="n">
        <v>46296</v>
      </c>
      <c r="B30" s="8" t="inlineStr">
        <is>
          <t>Trip</t>
        </is>
      </c>
      <c r="C30" s="8" t="inlineStr">
        <is>
          <t>Agency and lawyer meetings requested.</t>
        </is>
      </c>
      <c r="D30" s="9" t="n">
        <v>46300</v>
      </c>
      <c r="E30" s="10" t="inlineStr">
        <is>
          <t>Not started</t>
        </is>
      </c>
      <c r="F30" s="10" t="inlineStr"/>
    </row>
    <row r="31">
      <c r="A31" s="11" t="n">
        <v>46296</v>
      </c>
      <c r="B31" s="8" t="inlineStr">
        <is>
          <t>Trip</t>
        </is>
      </c>
      <c r="C31" s="8" t="inlineStr">
        <is>
          <t>Itinerary and question lists. Trip minus 7 days.</t>
        </is>
      </c>
      <c r="D31" s="9" t="n"/>
      <c r="E31" s="10" t="inlineStr">
        <is>
          <t>Not started</t>
        </is>
      </c>
      <c r="F31" s="10" t="inlineStr"/>
    </row>
    <row r="32">
      <c r="A32" s="11" t="n">
        <v>46296</v>
      </c>
      <c r="B32" s="8" t="inlineStr">
        <is>
          <t>Trip</t>
        </is>
      </c>
      <c r="C32" s="8" t="inlineStr">
        <is>
          <t>Trip: neighborhood decision, university visits, kindergarten visits, agency meetings, partner meetings.</t>
        </is>
      </c>
      <c r="D32" s="9" t="n"/>
      <c r="E32" s="10" t="inlineStr">
        <is>
          <t>Not started</t>
        </is>
      </c>
      <c r="F32" s="10" t="inlineStr"/>
    </row>
    <row r="33">
      <c r="A33" s="11" t="n">
        <v>46296</v>
      </c>
      <c r="B33" s="8" t="inlineStr">
        <is>
          <t>Trip</t>
        </is>
      </c>
      <c r="C33" s="8" t="inlineStr">
        <is>
          <t>After the trip: write up decisions in plan/trip/october-2026-barcelona.md and update profile.md.</t>
        </is>
      </c>
      <c r="D33" s="9" t="n"/>
      <c r="E33" s="10" t="inlineStr">
        <is>
          <t>Not started</t>
        </is>
      </c>
      <c r="F33" s="10" t="inlineStr"/>
    </row>
    <row r="34">
      <c r="A34" s="11" t="n">
        <v>46296</v>
      </c>
      <c r="B34" s="8" t="inlineStr">
        <is>
          <t>Programs</t>
        </is>
      </c>
      <c r="C34" s="8" t="inlineStr">
        <is>
          <t>All shortlisted programs contacted; 2027 intake status and deadlines recorded.</t>
        </is>
      </c>
      <c r="D34" s="9" t="n">
        <v>46326</v>
      </c>
      <c r="E34" s="10" t="inlineStr">
        <is>
          <t>Not started</t>
        </is>
      </c>
      <c r="F34" s="10" t="inlineStr"/>
    </row>
    <row r="35">
      <c r="A35" s="11" t="n">
        <v>46296</v>
      </c>
      <c r="B35" s="8" t="inlineStr">
        <is>
          <t>Programs</t>
        </is>
      </c>
      <c r="C35" s="8" t="inlineStr">
        <is>
          <t>Start shared application assets: CV, diploma and transcript scans, passport scan.</t>
        </is>
      </c>
      <c r="D35" s="9" t="n"/>
      <c r="E35" s="10" t="inlineStr">
        <is>
          <t>Not started</t>
        </is>
      </c>
      <c r="F35" s="10" t="inlineStr"/>
    </row>
    <row r="36">
      <c r="A36" s="11" t="n">
        <v>46296</v>
      </c>
      <c r="B36" s="8" t="inlineStr">
        <is>
          <t>Spanish</t>
        </is>
      </c>
      <c r="C36" s="8" t="inlineStr">
        <is>
          <t>Milestone 10-31: Language Transfer done, 1200 words, 20-minute tutor conversation.</t>
        </is>
      </c>
      <c r="D36" s="9" t="n"/>
      <c r="E36" s="10" t="inlineStr">
        <is>
          <t>Not started</t>
        </is>
      </c>
      <c r="F36" s="10" t="inlineStr"/>
    </row>
    <row r="37">
      <c r="A37" s="11" t="n">
        <v>46327</v>
      </c>
      <c r="B37" s="8" t="inlineStr">
        <is>
          <t>Income</t>
        </is>
      </c>
      <c r="C37" s="8" t="inlineStr">
        <is>
          <t>Follow up on every open proposal. Log November deposits.</t>
        </is>
      </c>
      <c r="D37" s="9" t="n"/>
      <c r="E37" s="10" t="inlineStr">
        <is>
          <t>Not started</t>
        </is>
      </c>
      <c r="F37" s="10" t="inlineStr"/>
    </row>
    <row r="38">
      <c r="A38" s="11" t="n">
        <v>46327</v>
      </c>
      <c r="B38" s="8" t="inlineStr">
        <is>
          <t>Tax</t>
        </is>
      </c>
      <c r="C38" s="8" t="inlineStr">
        <is>
          <t>Tax advisor consult done; Beckham path decided.</t>
        </is>
      </c>
      <c r="D38" s="9" t="n">
        <v>46341</v>
      </c>
      <c r="E38" s="10" t="inlineStr">
        <is>
          <t>Not started</t>
        </is>
      </c>
      <c r="F38" s="10" t="inlineStr"/>
    </row>
    <row r="39">
      <c r="A39" s="11" t="n">
        <v>46327</v>
      </c>
      <c r="B39" s="8" t="inlineStr">
        <is>
          <t>Tax</t>
        </is>
      </c>
      <c r="C39" s="8" t="inlineStr">
        <is>
          <t>If administrator route: amend LLC operating agreement.</t>
        </is>
      </c>
      <c r="D39" s="9" t="n">
        <v>46356</v>
      </c>
      <c r="E39" s="10" t="inlineStr">
        <is>
          <t>Not started</t>
        </is>
      </c>
      <c r="F39" s="10" t="inlineStr"/>
    </row>
    <row r="40">
      <c r="A40" s="11" t="n">
        <v>46327</v>
      </c>
      <c r="B40" s="8" t="inlineStr">
        <is>
          <t>Programs</t>
        </is>
      </c>
      <c r="C40" s="8" t="inlineStr">
        <is>
          <t>Draft one motivation letter per program in plan/documents/.</t>
        </is>
      </c>
      <c r="D40" s="9" t="n"/>
      <c r="E40" s="10" t="inlineStr">
        <is>
          <t>Not started</t>
        </is>
      </c>
      <c r="F40" s="10" t="inlineStr"/>
    </row>
    <row r="41">
      <c r="A41" s="11" t="n">
        <v>46327</v>
      </c>
      <c r="B41" s="8" t="inlineStr">
        <is>
          <t>Programs</t>
        </is>
      </c>
      <c r="C41" s="8" t="inlineStr">
        <is>
          <t>Submit any application whose deadline falls before January.</t>
        </is>
      </c>
      <c r="D41" s="9" t="n"/>
      <c r="E41" s="10" t="inlineStr">
        <is>
          <t>Not started</t>
        </is>
      </c>
      <c r="F41" s="10" t="inlineStr"/>
    </row>
    <row r="42">
      <c r="A42" s="11" t="n">
        <v>46327</v>
      </c>
      <c r="B42" s="8" t="inlineStr">
        <is>
          <t>Programs</t>
        </is>
      </c>
      <c r="C42" s="8" t="inlineStr">
        <is>
          <t>Request recommendation letters where required.</t>
        </is>
      </c>
      <c r="D42" s="9" t="n"/>
      <c r="E42" s="10" t="inlineStr">
        <is>
          <t>Not started</t>
        </is>
      </c>
      <c r="F42" s="10" t="inlineStr"/>
    </row>
    <row r="43">
      <c r="A43" s="11" t="n">
        <v>46327</v>
      </c>
      <c r="B43" s="8" t="inlineStr">
        <is>
          <t>Immigration</t>
        </is>
      </c>
      <c r="C43" s="8" t="inlineStr">
        <is>
          <t>Identify self-employment proof documents (Schedule C and SE, or IRS transcript). Request IRS transcript.</t>
        </is>
      </c>
      <c r="D43" s="9" t="n"/>
      <c r="E43" s="10" t="inlineStr">
        <is>
          <t>Not started</t>
        </is>
      </c>
      <c r="F43" s="10" t="inlineStr"/>
    </row>
    <row r="44">
      <c r="A44" s="11" t="n">
        <v>46327</v>
      </c>
      <c r="B44" s="8" t="inlineStr">
        <is>
          <t>Immigration</t>
        </is>
      </c>
      <c r="C44" s="8" t="inlineStr">
        <is>
          <t>Choose immigration lawyer or agency from trip meetings. Get flat fee in writing.</t>
        </is>
      </c>
      <c r="D44" s="9" t="n"/>
      <c r="E44" s="10" t="inlineStr">
        <is>
          <t>Not started</t>
        </is>
      </c>
      <c r="F44" s="10" t="inlineStr"/>
    </row>
    <row r="45">
      <c r="A45" s="11" t="n">
        <v>46327</v>
      </c>
      <c r="B45" s="8" t="inlineStr">
        <is>
          <t>Spanish</t>
        </is>
      </c>
      <c r="C45" s="8" t="inlineStr">
        <is>
          <t>Phase 2: three tutor sessions per week, weekly monologue recording, Peninsular news audio.</t>
        </is>
      </c>
      <c r="D45" s="9" t="n"/>
      <c r="E45" s="10" t="inlineStr">
        <is>
          <t>Not started</t>
        </is>
      </c>
      <c r="F45" s="10" t="inlineStr"/>
    </row>
    <row r="46">
      <c r="A46" s="11" t="n">
        <v>46357</v>
      </c>
      <c r="B46" s="8" t="inlineStr">
        <is>
          <t>Income</t>
        </is>
      </c>
      <c r="C46" s="8" t="inlineStr">
        <is>
          <t>Contracts signed covering Jan to Dec 2027 at or above threshold.</t>
        </is>
      </c>
      <c r="D46" s="9" t="n">
        <v>46371</v>
      </c>
      <c r="E46" s="10" t="inlineStr">
        <is>
          <t>Not started</t>
        </is>
      </c>
      <c r="F46" s="10" t="inlineStr"/>
    </row>
    <row r="47">
      <c r="A47" s="11" t="n">
        <v>46357</v>
      </c>
      <c r="B47" s="8" t="inlineStr">
        <is>
          <t>Income</t>
        </is>
      </c>
      <c r="C47" s="8" t="inlineStr">
        <is>
          <t>Log December deposits.</t>
        </is>
      </c>
      <c r="D47" s="9" t="n"/>
      <c r="E47" s="10" t="inlineStr">
        <is>
          <t>Not started</t>
        </is>
      </c>
      <c r="F47" s="10" t="inlineStr"/>
    </row>
    <row r="48">
      <c r="A48" s="11" t="n">
        <v>46357</v>
      </c>
      <c r="B48" s="8" t="inlineStr">
        <is>
          <t>Immigration</t>
        </is>
      </c>
      <c r="C48" s="8" t="inlineStr">
        <is>
          <t>Health insurance policy selected.</t>
        </is>
      </c>
      <c r="D48" s="9" t="n">
        <v>46387</v>
      </c>
      <c r="E48" s="10" t="inlineStr">
        <is>
          <t>Not started</t>
        </is>
      </c>
      <c r="F48" s="10" t="inlineStr"/>
    </row>
    <row r="49">
      <c r="A49" s="11" t="n">
        <v>46357</v>
      </c>
      <c r="B49" s="8" t="inlineStr">
        <is>
          <t>Immigration</t>
        </is>
      </c>
      <c r="C49" s="8" t="inlineStr">
        <is>
          <t>Order FBI background check.</t>
        </is>
      </c>
      <c r="D49" s="9" t="n">
        <v>46387</v>
      </c>
      <c r="E49" s="10" t="inlineStr">
        <is>
          <t>Not started</t>
        </is>
      </c>
      <c r="F49" s="10" t="inlineStr"/>
    </row>
    <row r="50">
      <c r="A50" s="11" t="n">
        <v>46357</v>
      </c>
      <c r="B50" s="8" t="inlineStr">
        <is>
          <t>Immigration</t>
        </is>
      </c>
      <c r="C50" s="8" t="inlineStr">
        <is>
          <t>Order certified copies: marriage certificate, daughter's birth certificate.</t>
        </is>
      </c>
      <c r="D50" s="9" t="n"/>
      <c r="E50" s="10" t="inlineStr">
        <is>
          <t>Not started</t>
        </is>
      </c>
      <c r="F50" s="10" t="inlineStr"/>
    </row>
    <row r="51">
      <c r="A51" s="11" t="n">
        <v>46357</v>
      </c>
      <c r="B51" s="8" t="inlineStr">
        <is>
          <t>Programs</t>
        </is>
      </c>
      <c r="C51" s="8" t="inlineStr">
        <is>
          <t>Submit applications with December or January deadlines.</t>
        </is>
      </c>
      <c r="D51" s="9" t="n"/>
      <c r="E51" s="10" t="inlineStr">
        <is>
          <t>Not started</t>
        </is>
      </c>
      <c r="F51" s="10" t="inlineStr"/>
    </row>
    <row r="52">
      <c r="A52" s="11" t="n">
        <v>46388</v>
      </c>
      <c r="B52" s="8" t="inlineStr">
        <is>
          <t>Immigration</t>
        </is>
      </c>
      <c r="C52" s="8" t="inlineStr">
        <is>
          <t>Start apostille chain: notarize diploma and transcript, send to Colorado Secretary of State; apostille FBI check, self-employment proof, marriage and birth certificates.</t>
        </is>
      </c>
      <c r="D52" s="9" t="n">
        <v>46418</v>
      </c>
      <c r="E52" s="10" t="inlineStr">
        <is>
          <t>Not started</t>
        </is>
      </c>
      <c r="F52" s="10" t="inlineStr"/>
    </row>
    <row r="53">
      <c r="A53" s="11" t="n">
        <v>46388</v>
      </c>
      <c r="B53" s="8" t="inlineStr">
        <is>
          <t>Programs</t>
        </is>
      </c>
      <c r="C53" s="8" t="inlineStr">
        <is>
          <t>Interviews. Track decisions.</t>
        </is>
      </c>
      <c r="D53" s="9" t="n"/>
      <c r="E53" s="10" t="inlineStr">
        <is>
          <t>Not started</t>
        </is>
      </c>
      <c r="F53" s="10" t="inlineStr"/>
    </row>
    <row r="54">
      <c r="A54" s="11" t="n">
        <v>46388</v>
      </c>
      <c r="B54" s="8" t="inlineStr">
        <is>
          <t>Income</t>
        </is>
      </c>
      <c r="C54" s="8" t="inlineStr">
        <is>
          <t>Log January deposits. Confirm every 2027 contract is invoicing.</t>
        </is>
      </c>
      <c r="D54" s="9" t="n"/>
      <c r="E54" s="10" t="inlineStr">
        <is>
          <t>Not started</t>
        </is>
      </c>
      <c r="F54" s="10" t="inlineStr"/>
    </row>
    <row r="55">
      <c r="A55" s="11" t="n">
        <v>46388</v>
      </c>
      <c r="B55" s="8" t="inlineStr">
        <is>
          <t>Spanish</t>
        </is>
      </c>
      <c r="C55" s="8" t="inlineStr">
        <is>
          <t>Milestone 01-31: 2500 words, landlord or bank call.</t>
        </is>
      </c>
      <c r="D55" s="9" t="n"/>
      <c r="E55" s="10" t="inlineStr">
        <is>
          <t>Not started</t>
        </is>
      </c>
      <c r="F55" s="10" t="inlineStr"/>
    </row>
    <row r="56">
      <c r="A56" s="11" t="n">
        <v>46419</v>
      </c>
      <c r="B56" s="8" t="inlineStr">
        <is>
          <t>Programs</t>
        </is>
      </c>
      <c r="C56" s="8" t="inlineStr">
        <is>
          <t>Collect decisions, compare offers, accept and pay deposit where decided.</t>
        </is>
      </c>
      <c r="D56" s="9" t="n"/>
      <c r="E56" s="10" t="inlineStr">
        <is>
          <t>Not started</t>
        </is>
      </c>
      <c r="F56" s="10" t="inlineStr"/>
    </row>
    <row r="57">
      <c r="A57" s="11" t="n">
        <v>46419</v>
      </c>
      <c r="B57" s="8" t="inlineStr">
        <is>
          <t>Immigration</t>
        </is>
      </c>
      <c r="C57" s="8" t="inlineStr">
        <is>
          <t>Track apostille returns. Chase anything outstanding.</t>
        </is>
      </c>
      <c r="D57" s="9" t="n"/>
      <c r="E57" s="10" t="inlineStr">
        <is>
          <t>Not started</t>
        </is>
      </c>
      <c r="F57" s="10" t="inlineStr"/>
    </row>
    <row r="58">
      <c r="A58" s="11" t="n">
        <v>46419</v>
      </c>
      <c r="B58" s="8" t="inlineStr">
        <is>
          <t>Income</t>
        </is>
      </c>
      <c r="C58" s="8" t="inlineStr">
        <is>
          <t>Log February deposits.</t>
        </is>
      </c>
      <c r="D58" s="9" t="n"/>
      <c r="E58" s="10" t="inlineStr">
        <is>
          <t>Not started</t>
        </is>
      </c>
      <c r="F58" s="10" t="inlineStr"/>
    </row>
    <row r="59">
      <c r="A59" s="11" t="n">
        <v>46419</v>
      </c>
      <c r="B59" s="8" t="inlineStr">
        <is>
          <t>Spanish</t>
        </is>
      </c>
      <c r="C59" s="8" t="inlineStr">
        <is>
          <t>Phase 3: four tutor sessions per week, native media only, task-based rehearsal (apartment viewing, empadronamiento, NIE, pediatrician, school enrollment).</t>
        </is>
      </c>
      <c r="D59" s="9" t="n"/>
      <c r="E59" s="10" t="inlineStr">
        <is>
          <t>Not started</t>
        </is>
      </c>
      <c r="F59" s="10" t="inlineStr"/>
    </row>
    <row r="60">
      <c r="A60" s="11" t="n">
        <v>46447</v>
      </c>
      <c r="B60" s="8" t="inlineStr">
        <is>
          <t>Kindergarten</t>
        </is>
      </c>
      <c r="C60" s="8" t="inlineStr">
        <is>
          <t>Preinscripcio 2027-28 window (assumed early March) if filing from abroad is allowed.</t>
        </is>
      </c>
      <c r="D60" s="9" t="n"/>
      <c r="E60" s="10" t="inlineStr">
        <is>
          <t>Not started</t>
        </is>
      </c>
      <c r="F60" s="10" t="inlineStr"/>
    </row>
    <row r="61">
      <c r="A61" s="11" t="n">
        <v>46447</v>
      </c>
      <c r="B61" s="8" t="inlineStr">
        <is>
          <t>Immigration</t>
        </is>
      </c>
      <c r="C61" s="8" t="inlineStr">
        <is>
          <t>Sworn translations ordered from a MAEC-certified traductor jurado.</t>
        </is>
      </c>
      <c r="D61" s="9" t="n">
        <v>46461</v>
      </c>
      <c r="E61" s="10" t="inlineStr">
        <is>
          <t>Not started</t>
        </is>
      </c>
      <c r="F61" s="10" t="inlineStr"/>
    </row>
    <row r="62">
      <c r="A62" s="11" t="n">
        <v>46447</v>
      </c>
      <c r="B62" s="8" t="inlineStr">
        <is>
          <t>Immigration</t>
        </is>
      </c>
      <c r="C62" s="8" t="inlineStr">
        <is>
          <t>Visa packet complete.</t>
        </is>
      </c>
      <c r="D62" s="9" t="n">
        <v>46477</v>
      </c>
      <c r="E62" s="10" t="inlineStr">
        <is>
          <t>Not started</t>
        </is>
      </c>
      <c r="F62" s="10" t="inlineStr"/>
    </row>
    <row r="63">
      <c r="A63" s="11" t="n">
        <v>46447</v>
      </c>
      <c r="B63" s="8" t="inlineStr">
        <is>
          <t>Immigration</t>
        </is>
      </c>
      <c r="C63" s="8" t="inlineStr">
        <is>
          <t>Check certificate validity windows so nothing expires before filing.</t>
        </is>
      </c>
      <c r="D63" s="9" t="n"/>
      <c r="E63" s="10" t="inlineStr">
        <is>
          <t>Not started</t>
        </is>
      </c>
      <c r="F63" s="10" t="inlineStr"/>
    </row>
    <row r="64">
      <c r="A64" s="11" t="n">
        <v>46447</v>
      </c>
      <c r="B64" s="8" t="inlineStr">
        <is>
          <t>Income</t>
        </is>
      </c>
      <c r="C64" s="8" t="inlineStr">
        <is>
          <t>Log March deposits. Evidence window closes. Request stamped statements Oct 2026 to Mar 2027.</t>
        </is>
      </c>
      <c r="D64" s="9" t="n"/>
      <c r="E64" s="10" t="inlineStr">
        <is>
          <t>Not started</t>
        </is>
      </c>
      <c r="F64" s="10" t="inlineStr"/>
    </row>
    <row r="65">
      <c r="A65" s="11" t="n">
        <v>46447</v>
      </c>
      <c r="B65" s="8" t="inlineStr">
        <is>
          <t>Housing</t>
        </is>
      </c>
      <c r="C65" s="8" t="inlineStr">
        <is>
          <t>Book 1 to 3 month temporary furnished rental for arrival.</t>
        </is>
      </c>
      <c r="D65" s="9" t="n"/>
      <c r="E65" s="10" t="inlineStr">
        <is>
          <t>Not started</t>
        </is>
      </c>
      <c r="F65" s="10" t="inlineStr"/>
    </row>
    <row r="66">
      <c r="A66" s="11" t="n">
        <v>46478</v>
      </c>
      <c r="B66" s="8" t="inlineStr">
        <is>
          <t>Immigration</t>
        </is>
      </c>
      <c r="C66" s="8" t="inlineStr">
        <is>
          <t>File DNV (consular EX-01) or lock the in-country EX-11 plan.</t>
        </is>
      </c>
      <c r="D66" s="9" t="n">
        <v>46492</v>
      </c>
      <c r="E66" s="10" t="inlineStr">
        <is>
          <t>Not started</t>
        </is>
      </c>
      <c r="F66" s="10" t="inlineStr"/>
    </row>
    <row r="67">
      <c r="A67" s="11" t="n">
        <v>46478</v>
      </c>
      <c r="B67" s="8" t="inlineStr">
        <is>
          <t>Immigration</t>
        </is>
      </c>
      <c r="C67" s="8" t="inlineStr">
        <is>
          <t>Do not commit the move date until approval or a credible processing estimate.</t>
        </is>
      </c>
      <c r="D67" s="9" t="n"/>
      <c r="E67" s="10" t="inlineStr">
        <is>
          <t>Not started</t>
        </is>
      </c>
      <c r="F67" s="10" t="inlineStr"/>
    </row>
    <row r="68">
      <c r="A68" s="11" t="n">
        <v>46478</v>
      </c>
      <c r="B68" s="8" t="inlineStr">
        <is>
          <t>Move</t>
        </is>
      </c>
      <c r="C68" s="8" t="inlineStr">
        <is>
          <t>Household shipping quotes. Decide sell, store, or ship.</t>
        </is>
      </c>
      <c r="D68" s="9" t="n"/>
      <c r="E68" s="10" t="inlineStr">
        <is>
          <t>Not started</t>
        </is>
      </c>
      <c r="F68" s="10" t="inlineStr"/>
    </row>
    <row r="69">
      <c r="A69" s="11" t="n">
        <v>46478</v>
      </c>
      <c r="B69" s="8" t="inlineStr">
        <is>
          <t>Move</t>
        </is>
      </c>
      <c r="C69" s="8" t="inlineStr">
        <is>
          <t>Give notice on Denver housing per lease terms.</t>
        </is>
      </c>
      <c r="D69" s="9" t="n"/>
      <c r="E69" s="10" t="inlineStr">
        <is>
          <t>Not started</t>
        </is>
      </c>
      <c r="F69" s="10" t="inlineStr"/>
    </row>
    <row r="70">
      <c r="A70" s="11" t="n">
        <v>46478</v>
      </c>
      <c r="B70" s="8" t="inlineStr">
        <is>
          <t>Spanish</t>
        </is>
      </c>
      <c r="C70" s="8" t="inlineStr">
        <is>
          <t>Milestone 04-30: B1. Catalan passive exposure 15 minutes per day.</t>
        </is>
      </c>
      <c r="D70" s="9" t="n"/>
      <c r="E70" s="10" t="inlineStr">
        <is>
          <t>Not started</t>
        </is>
      </c>
      <c r="F70" s="10" t="inlineStr"/>
    </row>
    <row r="71">
      <c r="A71" s="11" t="n">
        <v>46478</v>
      </c>
      <c r="B71" s="8" t="inlineStr">
        <is>
          <t>Dog</t>
        </is>
      </c>
      <c r="C71" s="8" t="inlineStr">
        <is>
          <t>Book vet appointment for the EU health certificate at arrival minus 10 days.</t>
        </is>
      </c>
      <c r="D71" s="9" t="n"/>
      <c r="E71" s="10" t="inlineStr">
        <is>
          <t>Not started</t>
        </is>
      </c>
      <c r="F71" s="10" t="inlineStr"/>
    </row>
    <row r="72">
      <c r="A72" s="11" t="n">
        <v>46508</v>
      </c>
      <c r="B72" s="8" t="inlineStr">
        <is>
          <t>Move</t>
        </is>
      </c>
      <c r="C72" s="8" t="inlineStr">
        <is>
          <t>Dog EU health certificate within 10 days of travel.</t>
        </is>
      </c>
      <c r="D72" s="9" t="n"/>
      <c r="E72" s="10" t="inlineStr">
        <is>
          <t>Not started</t>
        </is>
      </c>
      <c r="F72" s="10" t="inlineStr"/>
    </row>
    <row r="73">
      <c r="A73" s="11" t="n">
        <v>46508</v>
      </c>
      <c r="B73" s="8" t="inlineStr">
        <is>
          <t>Move</t>
        </is>
      </c>
      <c r="C73" s="8" t="inlineStr">
        <is>
          <t>Arrive. Temporary rental. Empadronamiento within 30 days.</t>
        </is>
      </c>
      <c r="D73" s="9" t="n"/>
      <c r="E73" s="10" t="inlineStr">
        <is>
          <t>Not started</t>
        </is>
      </c>
      <c r="F73" s="10" t="inlineStr"/>
    </row>
    <row r="74">
      <c r="A74" s="11" t="n">
        <v>46508</v>
      </c>
      <c r="B74" s="8" t="inlineStr">
        <is>
          <t>Move</t>
        </is>
      </c>
      <c r="C74" s="8" t="inlineStr">
        <is>
          <t>If in-country route: file EX-11 within 90 days of entry.</t>
        </is>
      </c>
      <c r="D74" s="9" t="n"/>
      <c r="E74" s="10" t="inlineStr">
        <is>
          <t>Not started</t>
        </is>
      </c>
      <c r="F74" s="10" t="inlineStr"/>
    </row>
    <row r="75">
      <c r="A75" s="11" t="n">
        <v>46508</v>
      </c>
      <c r="B75" s="8" t="inlineStr">
        <is>
          <t>Move</t>
        </is>
      </c>
      <c r="C75" s="8" t="inlineStr">
        <is>
          <t>Start Catalan through the Consorci per a la Normalitzacio Linguistica.</t>
        </is>
      </c>
      <c r="D75" s="9" t="n"/>
      <c r="E75" s="10" t="inlineStr">
        <is>
          <t>Not started</t>
        </is>
      </c>
      <c r="F75" s="10" t="inlineStr"/>
    </row>
    <row r="76">
      <c r="A76" s="11" t="n">
        <v>46508</v>
      </c>
      <c r="B76" s="8" t="inlineStr">
        <is>
          <t>Move</t>
        </is>
      </c>
      <c r="C76" s="8" t="inlineStr">
        <is>
          <t>Two tutor sessions per week for the first month.</t>
        </is>
      </c>
      <c r="D76" s="9" t="n"/>
      <c r="E76" s="10" t="inlineStr">
        <is>
          <t>Not started</t>
        </is>
      </c>
      <c r="F76" s="10" t="inlineStr"/>
    </row>
    <row r="77">
      <c r="A77" s="11" t="n">
        <v>46508</v>
      </c>
      <c r="B77" s="8" t="inlineStr">
        <is>
          <t>Kindergarten</t>
        </is>
      </c>
      <c r="C77" s="8" t="inlineStr">
        <is>
          <t>Out-of-period placement request for the daughter.</t>
        </is>
      </c>
      <c r="D77" s="9" t="n"/>
      <c r="E77" s="10" t="inlineStr">
        <is>
          <t>Not started</t>
        </is>
      </c>
      <c r="F77" s="10" t="inlineStr"/>
    </row>
    <row r="78">
      <c r="A78" s="11" t="n">
        <v>46539</v>
      </c>
      <c r="B78" s="8" t="inlineStr">
        <is>
          <t>Move</t>
        </is>
      </c>
      <c r="C78" s="8" t="inlineStr">
        <is>
          <t>Police appointment: fingerprints, TIE.</t>
        </is>
      </c>
      <c r="D78" s="9" t="n"/>
      <c r="E78" s="10" t="inlineStr">
        <is>
          <t>Not started</t>
        </is>
      </c>
      <c r="F78" s="10" t="inlineStr"/>
    </row>
    <row r="79">
      <c r="A79" s="11" t="n">
        <v>46539</v>
      </c>
      <c r="B79" s="8" t="inlineStr">
        <is>
          <t>Move</t>
        </is>
      </c>
      <c r="C79" s="8" t="inlineStr">
        <is>
          <t>Bank account, Social Security registration, healthcare registration.</t>
        </is>
      </c>
      <c r="D79" s="9" t="n"/>
      <c r="E79" s="10" t="inlineStr">
        <is>
          <t>Not started</t>
        </is>
      </c>
      <c r="F79" s="10" t="inlineStr"/>
    </row>
    <row r="80">
      <c r="A80" s="11" t="n">
        <v>46539</v>
      </c>
      <c r="B80" s="8" t="inlineStr">
        <is>
          <t>Move</t>
        </is>
      </c>
      <c r="C80" s="8" t="inlineStr">
        <is>
          <t>Sign 12-month lease.</t>
        </is>
      </c>
      <c r="D80" s="9" t="n"/>
      <c r="E80" s="10" t="inlineStr">
        <is>
          <t>Not started</t>
        </is>
      </c>
      <c r="F80" s="10" t="inlineStr"/>
    </row>
    <row r="81">
      <c r="A81" s="11" t="n">
        <v>46539</v>
      </c>
      <c r="B81" s="8" t="inlineStr">
        <is>
          <t>Tax</t>
        </is>
      </c>
      <c r="C81" s="8" t="inlineStr">
        <is>
          <t>If eligible: Modelo 149 within 6 months of Social Security registration. Otherwise RETA registration.</t>
        </is>
      </c>
      <c r="D81" s="9" t="n"/>
      <c r="E81" s="10" t="inlineStr">
        <is>
          <t>Not started</t>
        </is>
      </c>
      <c r="F81" s="10" t="inlineStr"/>
    </row>
    <row r="82">
      <c r="A82" s="11" t="n">
        <v>46569</v>
      </c>
      <c r="B82" s="8" t="inlineStr">
        <is>
          <t>Programs</t>
        </is>
      </c>
      <c r="C82" s="8" t="inlineStr">
        <is>
          <t>Prepare ELISAVA 2027 application materials if the intake is confirmed.</t>
        </is>
      </c>
      <c r="D82" s="9" t="n"/>
      <c r="E82" s="10" t="inlineStr">
        <is>
          <t>Not started</t>
        </is>
      </c>
      <c r="F82" s="10" t="inlineStr"/>
    </row>
    <row r="83">
      <c r="A83" s="11" t="n">
        <v>46569</v>
      </c>
      <c r="B83" s="8" t="inlineStr">
        <is>
          <t>Tax</t>
        </is>
      </c>
      <c r="C83" s="8" t="inlineStr">
        <is>
          <t>Confirm Modelo 149 or RETA done.</t>
        </is>
      </c>
      <c r="D83" s="9" t="n"/>
      <c r="E83" s="10" t="inlineStr">
        <is>
          <t>Not started</t>
        </is>
      </c>
      <c r="F83" s="10" t="inlineStr"/>
    </row>
    <row r="84">
      <c r="A84" s="11" t="n">
        <v>46600</v>
      </c>
      <c r="B84" s="8" t="inlineStr">
        <is>
          <t>Programs</t>
        </is>
      </c>
      <c r="C84" s="8" t="inlineStr">
        <is>
          <t>Submit ELISAVA application ahead of the assumed 09-08 deadline.</t>
        </is>
      </c>
      <c r="D84" s="9" t="n"/>
      <c r="E84" s="10" t="inlineStr">
        <is>
          <t>Not started</t>
        </is>
      </c>
      <c r="F84" s="10" t="inlineStr"/>
    </row>
    <row r="85">
      <c r="A85" s="11" t="n">
        <v>46600</v>
      </c>
      <c r="B85" s="8" t="inlineStr">
        <is>
          <t>Kindergarten</t>
        </is>
      </c>
      <c r="C85" s="8" t="inlineStr">
        <is>
          <t>Confirm September placement.</t>
        </is>
      </c>
      <c r="D85" s="9" t="n"/>
      <c r="E85" s="10" t="inlineStr">
        <is>
          <t>Not started</t>
        </is>
      </c>
      <c r="F85" s="10" t="inlineStr"/>
    </row>
    <row r="86">
      <c r="A86" s="11" t="n">
        <v>46631</v>
      </c>
      <c r="B86" s="8" t="inlineStr">
        <is>
          <t>Programs</t>
        </is>
      </c>
      <c r="C86" s="8" t="inlineStr">
        <is>
          <t>ELISAVA deadline 09-08 (assumed). September-intake programs start.</t>
        </is>
      </c>
      <c r="D86" s="9" t="n"/>
      <c r="E86" s="10" t="inlineStr">
        <is>
          <t>Not started</t>
        </is>
      </c>
      <c r="F86" s="10" t="inlineStr"/>
    </row>
    <row r="87">
      <c r="A87" s="11" t="n">
        <v>46631</v>
      </c>
      <c r="B87" s="8" t="inlineStr">
        <is>
          <t>Kindergarten</t>
        </is>
      </c>
      <c r="C87" s="8" t="inlineStr">
        <is>
          <t>Daughter starts school.</t>
        </is>
      </c>
      <c r="D87" s="9" t="n"/>
      <c r="E87" s="10" t="inlineStr">
        <is>
          <t>Not started</t>
        </is>
      </c>
      <c r="F87" s="10" t="inlineStr"/>
    </row>
    <row r="88">
      <c r="A88" s="11" t="n">
        <v>46631</v>
      </c>
      <c r="B88" s="8" t="inlineStr">
        <is>
          <t>Work</t>
        </is>
      </c>
      <c r="C88" s="8" t="inlineStr">
        <is>
          <t>Shift work hours to local time.</t>
        </is>
      </c>
      <c r="D88" s="9" t="n"/>
      <c r="E88" s="10" t="inlineStr">
        <is>
          <t>Not started</t>
        </is>
      </c>
      <c r="F88" s="10" t="inlineStr"/>
    </row>
    <row r="89">
      <c r="A89" s="11" t="n">
        <v>46661</v>
      </c>
      <c r="B89" s="8" t="inlineStr">
        <is>
          <t>Programs</t>
        </is>
      </c>
      <c r="C89" s="8" t="inlineStr">
        <is>
          <t>October-cycle programs start. Confirm on-campus schedule.</t>
        </is>
      </c>
      <c r="D89" s="9" t="n"/>
      <c r="E89" s="10" t="inlineStr">
        <is>
          <t>Not started</t>
        </is>
      </c>
      <c r="F89" s="10" t="inlineStr"/>
    </row>
    <row r="90">
      <c r="A90" s="11" t="n">
        <v>46661</v>
      </c>
      <c r="B90" s="8" t="inlineStr">
        <is>
          <t>Immigration</t>
        </is>
      </c>
      <c r="C90" s="8" t="inlineStr">
        <is>
          <t>Note renewal date and the 3 to 6 month evidence window before it.</t>
        </is>
      </c>
      <c r="D90" s="9" t="n"/>
      <c r="E90" s="10" t="inlineStr">
        <is>
          <t>Not started</t>
        </is>
      </c>
      <c r="F90" s="10" t="inlineStr"/>
    </row>
  </sheetData>
  <autoFilter ref="A1:F90"/>
  <conditionalFormatting sqref="A2:F90">
    <cfRule type="expression" priority="1" dxfId="0">
      <formula>AND($D2&lt;&gt;"",$E2&lt;&gt;"Done",$D2&lt;TODAY())</formula>
    </cfRule>
    <cfRule type="expression" priority="2" dxfId="2">
      <formula>$E2="Done"</formula>
    </cfRule>
  </conditionalFormatting>
  <dataValidations count="2">
    <dataValidation sqref="E2:E90" showDropDown="0" showInputMessage="0" showErrorMessage="0" allowBlank="1" type="list">
      <formula1>"Not started,In progress,Waiting on,At risk,Overdue,Done"</formula1>
    </dataValidation>
    <dataValidation sqref="B2:B90" showDropDown="0" showInputMessage="0" showErrorMessage="0" allowBlank="1" type="list">
      <formula1>"Programs,Immigration,Tax,Income,Trip,Outreach,Kindergarten,Spanish,Move,Housing,Work,Dog"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1" customWidth="1" min="3" max="3"/>
    <col width="40" customWidth="1" min="4" max="4"/>
    <col width="30" customWidth="1" min="5" max="5"/>
    <col width="50" customWidth="1" min="6" max="6"/>
    <col width="13" customWidth="1" min="7" max="7"/>
  </cols>
  <sheetData>
    <row r="1">
      <c r="A1" s="7" t="inlineStr">
        <is>
          <t>Program</t>
        </is>
      </c>
      <c r="B1" s="7" t="inlineStr">
        <is>
          <t>University</t>
        </is>
      </c>
      <c r="C1" s="7" t="inlineStr">
        <is>
          <t>City</t>
        </is>
      </c>
      <c r="D1" s="7" t="inlineStr">
        <is>
          <t>Status</t>
        </is>
      </c>
      <c r="E1" s="7" t="inlineStr">
        <is>
          <t>Deadline</t>
        </is>
      </c>
      <c r="F1" s="7" t="inlineStr">
        <is>
          <t>Missing items</t>
        </is>
      </c>
      <c r="G1" s="7" t="inlineStr">
        <is>
          <t>Last checked</t>
        </is>
      </c>
    </row>
    <row r="2">
      <c r="A2" s="8" t="inlineStr">
        <is>
          <t>Master in Design for Responsible AI</t>
        </is>
      </c>
      <c r="B2" s="8" t="inlineStr">
        <is>
          <t>ELISAVA (UVic-UCC)</t>
        </is>
      </c>
      <c r="C2" s="8" t="inlineStr">
        <is>
          <t>Barcelona</t>
        </is>
      </c>
      <c r="D2" s="10" t="inlineStr">
        <is>
          <t>Applying. Primary target. School not yet committed to running a Sept 2027 intake.</t>
        </is>
      </c>
      <c r="E2" s="10" t="inlineStr">
        <is>
          <t>Not verified</t>
        </is>
      </c>
      <c r="F2" s="10" t="inlineStr">
        <is>
          <t>Confirm 2027 intake runs; deadline; motivation letter; meeting in Oct 2026</t>
        </is>
      </c>
      <c r="G2" s="8" t="inlineStr">
        <is>
          <t>2026-09-08</t>
        </is>
      </c>
    </row>
    <row r="3">
      <c r="A3" s="8" t="inlineStr">
        <is>
          <t>Master in AI for Business</t>
        </is>
      </c>
      <c r="B3" s="8" t="inlineStr">
        <is>
          <t>EU Business School</t>
        </is>
      </c>
      <c r="C3" s="8" t="inlineStr">
        <is>
          <t>Barcelona</t>
        </is>
      </c>
      <c r="D3" s="10" t="inlineStr">
        <is>
          <t>Shortlisted, apply</t>
        </is>
      </c>
      <c r="E3" s="10" t="inlineStr">
        <is>
          <t>Not verified</t>
        </is>
      </c>
      <c r="F3" s="10" t="inlineStr">
        <is>
          <t>Deadline; syllabus re-check; meeting in Oct 2026</t>
        </is>
      </c>
      <c r="G3" s="8" t="inlineStr">
        <is>
          <t>2026-09-08</t>
        </is>
      </c>
    </row>
    <row r="4">
      <c r="A4" s="8" t="inlineStr">
        <is>
          <t>Master in AI for Management</t>
        </is>
      </c>
      <c r="B4" s="8" t="inlineStr">
        <is>
          <t>GBSB Global</t>
        </is>
      </c>
      <c r="C4" s="8" t="inlineStr">
        <is>
          <t>Barcelona</t>
        </is>
      </c>
      <c r="D4" s="10" t="inlineStr">
        <is>
          <t>Shortlisted with conflict, see program file</t>
        </is>
      </c>
      <c r="E4" s="10" t="inlineStr">
        <is>
          <t>Not verified</t>
        </is>
      </c>
      <c r="F4" s="10" t="inlineStr">
        <is>
          <t>Resolve credential conflict; verify analytics modules are no-code; meeting in Oct 2026</t>
        </is>
      </c>
      <c r="G4" s="8" t="inlineStr">
        <is>
          <t>2026-09-08</t>
        </is>
      </c>
    </row>
    <row r="5">
      <c r="A5" s="8" t="inlineStr">
        <is>
          <t>Master in Public Policy, AI and Digital Transformation</t>
        </is>
      </c>
      <c r="B5" s="8" t="inlineStr">
        <is>
          <t>IE University</t>
        </is>
      </c>
      <c r="C5" s="8" t="inlineStr">
        <is>
          <t>Madrid</t>
        </is>
      </c>
      <c r="D5" s="10" t="inlineStr">
        <is>
          <t>Shortlisted with conflict, see program file</t>
        </is>
      </c>
      <c r="E5" s="10" t="inlineStr">
        <is>
          <t>Not verified</t>
        </is>
      </c>
      <c r="F5" s="10" t="inlineStr">
        <is>
          <t>User decision: public policy was ruled out on 2026-08-07</t>
        </is>
      </c>
      <c r="G5" s="8" t="inlineStr">
        <is>
          <t>2026-09-08</t>
        </is>
      </c>
    </row>
    <row r="6">
      <c r="A6" s="8" t="inlineStr">
        <is>
          <t>Expert Diploma in Responsible Management of AI</t>
        </is>
      </c>
      <c r="B6" s="8" t="inlineStr">
        <is>
          <t>UPF-BSM</t>
        </is>
      </c>
      <c r="C6" s="8" t="inlineStr">
        <is>
          <t>Barcelona</t>
        </is>
      </c>
      <c r="D6" s="10" t="inlineStr">
        <is>
          <t>Meeting only, not a master</t>
        </is>
      </c>
      <c r="E6" s="10" t="inlineStr">
        <is>
          <t>Not verified</t>
        </is>
      </c>
      <c r="F6" s="10" t="inlineStr">
        <is>
          <t>Book meeting in Oct 2026</t>
        </is>
      </c>
      <c r="G6" s="8" t="inlineStr">
        <is>
          <t>2026-09-08</t>
        </is>
      </c>
    </row>
    <row r="7">
      <c r="A7" s="8" t="inlineStr">
        <is>
          <t>Master in Digital Transformation and AI Leadership</t>
        </is>
      </c>
      <c r="B7" s="8" t="inlineStr">
        <is>
          <t>Barcelona Technology School</t>
        </is>
      </c>
      <c r="C7" s="8" t="inlineStr">
        <is>
          <t>Barcelona</t>
        </is>
      </c>
      <c r="D7" s="10" t="inlineStr">
        <is>
          <t>New, to verify</t>
        </is>
      </c>
      <c r="E7" s="10" t="inlineStr">
        <is>
          <t>Not published; about June 2027 assumed</t>
        </is>
      </c>
      <c r="F7" s="10" t="inlineStr">
        <is>
          <t>Syllabus, degree type, schedule, deadline; meeting in Oct 2026</t>
        </is>
      </c>
      <c r="G7" s="8" t="inlineStr">
        <is>
          <t>2026-09-09</t>
        </is>
      </c>
    </row>
    <row r="8">
      <c r="A8" s="8" t="inlineStr">
        <is>
          <t>MSc Digital Transformation and AI for Business</t>
        </is>
      </c>
      <c r="B8" s="8" t="inlineStr">
        <is>
          <t>TBS Education</t>
        </is>
      </c>
      <c r="C8" s="8" t="inlineStr">
        <is>
          <t>Barcelona</t>
        </is>
      </c>
      <c r="D8" s="10" t="inlineStr">
        <is>
          <t>New, to verify</t>
        </is>
      </c>
      <c r="E8" s="10" t="inlineStr">
        <is>
          <t>Not published; about Dec 2026 assumed from 2025-12-12</t>
        </is>
      </c>
      <c r="F8" s="10" t="inlineStr">
        <is>
          <t>Senior fit, schedule, internship, deadline; meeting in Oct 2026</t>
        </is>
      </c>
      <c r="G8" s="8" t="inlineStr">
        <is>
          <t>2026-09-09</t>
        </is>
      </c>
    </row>
    <row r="9">
      <c r="A9" s="8" t="inlineStr">
        <is>
          <t>Master en IA Aplicada a Negocio</t>
        </is>
      </c>
      <c r="B9" s="8" t="inlineStr">
        <is>
          <t>EAE Business School</t>
        </is>
      </c>
      <c r="C9" s="8" t="inlineStr">
        <is>
          <t>Barcelona</t>
        </is>
      </c>
      <c r="D9" s="10" t="inlineStr">
        <is>
          <t>New, coding and language unresolved</t>
        </is>
      </c>
      <c r="E9" s="10" t="inlineStr">
        <is>
          <t>Not published</t>
        </is>
      </c>
      <c r="F9" s="10" t="inlineStr">
        <is>
          <t>Syllabus, language, official status, deadline</t>
        </is>
      </c>
      <c r="G9" s="8" t="inlineStr">
        <is>
          <t>2026-09-09</t>
        </is>
      </c>
    </row>
    <row r="10">
      <c r="A10" s="8" t="inlineStr">
        <is>
          <t>Master en Inteligencia Artificial (MIA)</t>
        </is>
      </c>
      <c r="B10" s="8" t="inlineStr">
        <is>
          <t>ESIC</t>
        </is>
      </c>
      <c r="C10" s="8" t="inlineStr">
        <is>
          <t>Barcelona</t>
        </is>
      </c>
      <c r="D10" s="10" t="inlineStr">
        <is>
          <t>New, coding unresolved</t>
        </is>
      </c>
      <c r="E10" s="10" t="inlineStr">
        <is>
          <t>Not published</t>
        </is>
      </c>
      <c r="F10" s="10" t="inlineStr">
        <is>
          <t>Syllabus, language, deadline</t>
        </is>
      </c>
      <c r="G10" s="8" t="inlineStr">
        <is>
          <t>2026-09-09</t>
        </is>
      </c>
    </row>
    <row r="11">
      <c r="A11" s="8" t="inlineStr">
        <is>
          <t>Master in Design for AI</t>
        </is>
      </c>
      <c r="B11" s="8" t="inlineStr">
        <is>
          <t>IED Barcelona</t>
        </is>
      </c>
      <c r="C11" s="8" t="inlineStr">
        <is>
          <t>Barcelona</t>
        </is>
      </c>
      <c r="D11" s="10" t="inlineStr">
        <is>
          <t>New, to verify</t>
        </is>
      </c>
      <c r="E11" s="10" t="inlineStr">
        <is>
          <t>Not published</t>
        </is>
      </c>
      <c r="F11" s="10" t="inlineStr">
        <is>
          <t>Syllabus, coding, language, schedule, deadline; meeting in Oct 2026</t>
        </is>
      </c>
      <c r="G11" s="8" t="inlineStr">
        <is>
          <t>2026-09-09</t>
        </is>
      </c>
    </row>
    <row r="12">
      <c r="A12" s="8" t="inlineStr">
        <is>
          <t>MSc AI for Business Management</t>
        </is>
      </c>
      <c r="B12" s="8" t="inlineStr">
        <is>
          <t>La Salle (URL)</t>
        </is>
      </c>
      <c r="C12" s="8" t="inlineStr">
        <is>
          <t>Barcelona</t>
        </is>
      </c>
      <c r="D12" s="10" t="inlineStr">
        <is>
          <t>New, coding unresolved</t>
        </is>
      </c>
      <c r="E12" s="10" t="inlineStr">
        <is>
          <t>Not published</t>
        </is>
      </c>
      <c r="F12" s="10" t="inlineStr">
        <is>
          <t>Syllabus, coding, schedule, deadline</t>
        </is>
      </c>
      <c r="G12" s="8" t="inlineStr">
        <is>
          <t>2026-09-09</t>
        </is>
      </c>
    </row>
    <row r="13">
      <c r="A13" s="8" t="inlineStr">
        <is>
          <t>Master en Filosofia de la IA</t>
        </is>
      </c>
      <c r="B13" s="8" t="inlineStr">
        <is>
          <t>Comillas</t>
        </is>
      </c>
      <c r="C13" s="8" t="inlineStr">
        <is>
          <t>Madrid</t>
        </is>
      </c>
      <c r="D13" s="10" t="inlineStr">
        <is>
          <t>New, Madrid only</t>
        </is>
      </c>
      <c r="E13" s="10" t="inlineStr">
        <is>
          <t>Not published</t>
        </is>
      </c>
      <c r="F13" s="10" t="inlineStr">
        <is>
          <t>Format, language, official status, deadline</t>
        </is>
      </c>
      <c r="G13" s="8" t="inlineStr">
        <is>
          <t>2026-09-09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1" customWidth="1" min="4" max="4"/>
    <col width="16" customWidth="1" min="5" max="5"/>
    <col width="16" customWidth="1" min="6" max="6"/>
    <col width="50" customWidth="1" min="7" max="7"/>
  </cols>
  <sheetData>
    <row r="1">
      <c r="A1" t="inlineStr">
        <is>
          <t>Threshold EUR per month (2026 basis, family of three)</t>
        </is>
      </c>
      <c r="B1" s="12" t="n">
        <v>4275</v>
      </c>
    </row>
    <row r="2">
      <c r="A2" t="inlineStr">
        <is>
          <t>Exchange buffer</t>
        </is>
      </c>
      <c r="B2" s="13" t="n">
        <v>0.15</v>
      </c>
    </row>
    <row r="3">
      <c r="A3" t="inlineStr">
        <is>
          <t>Target USD per month</t>
        </is>
      </c>
      <c r="B3" s="14">
        <f>B1*(1+B2)*B6</f>
        <v/>
      </c>
    </row>
    <row r="4">
      <c r="A4" t="inlineStr">
        <is>
          <t>Source: chat 1, 2026-08-07. Threshold rises with the SMI each year; update B1 when the 2027 figure is published.</t>
        </is>
      </c>
    </row>
    <row r="5"/>
    <row r="6">
      <c r="A6" t="inlineStr">
        <is>
          <t>EUR to USD rate used for target</t>
        </is>
      </c>
      <c r="B6" s="15" t="n">
        <v>1.144</v>
      </c>
    </row>
    <row r="7">
      <c r="A7" t="inlineStr">
        <is>
          <t>Rate source: chat 1, 2026-08-07. Update to the current ECB rate.</t>
        </is>
      </c>
    </row>
    <row r="8"/>
    <row r="9">
      <c r="A9" s="5" t="inlineStr">
        <is>
          <t>Month</t>
        </is>
      </c>
      <c r="B9" s="5" t="inlineStr">
        <is>
          <t>Gross deposits USD</t>
        </is>
      </c>
      <c r="C9" s="5" t="inlineStr">
        <is>
          <t>EUR at month-end rate</t>
        </is>
      </c>
      <c r="D9" s="5" t="inlineStr">
        <is>
          <t>Rate used</t>
        </is>
      </c>
      <c r="E9" s="5" t="inlineStr">
        <is>
          <t>Above threshold</t>
        </is>
      </c>
      <c r="F9" s="5" t="inlineStr">
        <is>
          <t>Non-Spain share</t>
        </is>
      </c>
      <c r="G9" s="5" t="inlineStr">
        <is>
          <t>Notes</t>
        </is>
      </c>
    </row>
    <row r="10">
      <c r="A10" s="16" t="n">
        <v>46296</v>
      </c>
      <c r="B10" s="17" t="n">
        <v>6000</v>
      </c>
      <c r="C10" s="18">
        <f>IF(OR(B10="",D10=""),"",B10/D10)</f>
        <v/>
      </c>
      <c r="D10" s="19" t="n">
        <v>1.144</v>
      </c>
      <c r="E10">
        <f>IF(C10="","",IF(C10&gt;=$B$1,"Yes","No"))</f>
        <v/>
      </c>
      <c r="F10" s="20" t="n">
        <v>1</v>
      </c>
      <c r="G10" s="21" t="inlineStr">
        <is>
          <t>Example values. Replace with real October deposits.</t>
        </is>
      </c>
    </row>
    <row r="11">
      <c r="A11" s="16" t="n">
        <v>46327</v>
      </c>
      <c r="B11" s="17" t="n"/>
      <c r="C11" s="18">
        <f>IF(OR(B11="",D11=""),"",B11/D11)</f>
        <v/>
      </c>
      <c r="D11" s="19" t="n"/>
      <c r="E11">
        <f>IF(C11="","",IF(C11&gt;=$B$1,"Yes","No"))</f>
        <v/>
      </c>
      <c r="F11" s="20" t="n"/>
      <c r="G11" s="21" t="n"/>
    </row>
    <row r="12">
      <c r="A12" s="16" t="n">
        <v>46357</v>
      </c>
      <c r="B12" s="17" t="n"/>
      <c r="C12" s="18">
        <f>IF(OR(B12="",D12=""),"",B12/D12)</f>
        <v/>
      </c>
      <c r="D12" s="19" t="n"/>
      <c r="E12">
        <f>IF(C12="","",IF(C12&gt;=$B$1,"Yes","No"))</f>
        <v/>
      </c>
      <c r="F12" s="20" t="n"/>
      <c r="G12" s="21" t="n"/>
    </row>
    <row r="13">
      <c r="A13" s="16" t="n">
        <v>46388</v>
      </c>
      <c r="B13" s="17" t="n"/>
      <c r="C13" s="18">
        <f>IF(OR(B13="",D13=""),"",B13/D13)</f>
        <v/>
      </c>
      <c r="D13" s="19" t="n"/>
      <c r="E13">
        <f>IF(C13="","",IF(C13&gt;=$B$1,"Yes","No"))</f>
        <v/>
      </c>
      <c r="F13" s="20" t="n"/>
      <c r="G13" s="21" t="n"/>
    </row>
    <row r="14">
      <c r="A14" s="16" t="n">
        <v>46419</v>
      </c>
      <c r="B14" s="17" t="n"/>
      <c r="C14" s="18">
        <f>IF(OR(B14="",D14=""),"",B14/D14)</f>
        <v/>
      </c>
      <c r="D14" s="19" t="n"/>
      <c r="E14">
        <f>IF(C14="","",IF(C14&gt;=$B$1,"Yes","No"))</f>
        <v/>
      </c>
      <c r="F14" s="20" t="n"/>
      <c r="G14" s="21" t="n"/>
    </row>
    <row r="15">
      <c r="A15" s="16" t="n">
        <v>46447</v>
      </c>
      <c r="B15" s="17" t="n"/>
      <c r="C15" s="18">
        <f>IF(OR(B15="",D15=""),"",B15/D15)</f>
        <v/>
      </c>
      <c r="D15" s="19" t="n"/>
      <c r="E15">
        <f>IF(C15="","",IF(C15&gt;=$B$1,"Yes","No"))</f>
        <v/>
      </c>
      <c r="F15" s="20" t="n"/>
      <c r="G15" s="21" t="n"/>
    </row>
    <row r="16">
      <c r="A16" s="16" t="n">
        <v>46478</v>
      </c>
      <c r="B16" s="17" t="n"/>
      <c r="C16" s="18">
        <f>IF(OR(B16="",D16=""),"",B16/D16)</f>
        <v/>
      </c>
      <c r="D16" s="19" t="n"/>
      <c r="E16">
        <f>IF(C16="","",IF(C16&gt;=$B$1,"Yes","No"))</f>
        <v/>
      </c>
      <c r="F16" s="20" t="n"/>
      <c r="G16" s="21" t="n"/>
    </row>
    <row r="17">
      <c r="A17" s="16" t="n">
        <v>46508</v>
      </c>
      <c r="B17" s="17" t="n"/>
      <c r="C17" s="18">
        <f>IF(OR(B17="",D17=""),"",B17/D17)</f>
        <v/>
      </c>
      <c r="D17" s="19" t="n"/>
      <c r="E17">
        <f>IF(C17="","",IF(C17&gt;=$B$1,"Yes","No"))</f>
        <v/>
      </c>
      <c r="F17" s="20" t="n"/>
      <c r="G17" s="21" t="n"/>
    </row>
    <row r="18">
      <c r="A18" s="16" t="n">
        <v>46539</v>
      </c>
      <c r="B18" s="17" t="n"/>
      <c r="C18" s="18">
        <f>IF(OR(B18="",D18=""),"",B18/D18)</f>
        <v/>
      </c>
      <c r="D18" s="19" t="n"/>
      <c r="E18">
        <f>IF(C18="","",IF(C18&gt;=$B$1,"Yes","No"))</f>
        <v/>
      </c>
      <c r="F18" s="20" t="n"/>
      <c r="G18" s="21" t="n"/>
    </row>
    <row r="19">
      <c r="A19" s="16" t="n">
        <v>46569</v>
      </c>
      <c r="B19" s="17" t="n"/>
      <c r="C19" s="18">
        <f>IF(OR(B19="",D19=""),"",B19/D19)</f>
        <v/>
      </c>
      <c r="D19" s="19" t="n"/>
      <c r="E19">
        <f>IF(C19="","",IF(C19&gt;=$B$1,"Yes","No"))</f>
        <v/>
      </c>
      <c r="F19" s="20" t="n"/>
      <c r="G19" s="21" t="n"/>
    </row>
    <row r="20">
      <c r="A20" s="16" t="n">
        <v>46600</v>
      </c>
      <c r="B20" s="17" t="n"/>
      <c r="C20" s="18">
        <f>IF(OR(B20="",D20=""),"",B20/D20)</f>
        <v/>
      </c>
      <c r="D20" s="19" t="n"/>
      <c r="E20">
        <f>IF(C20="","",IF(C20&gt;=$B$1,"Yes","No"))</f>
        <v/>
      </c>
      <c r="F20" s="20" t="n"/>
      <c r="G20" s="21" t="n"/>
    </row>
    <row r="21">
      <c r="A21" s="16" t="n">
        <v>46631</v>
      </c>
      <c r="B21" s="17" t="n"/>
      <c r="C21" s="18">
        <f>IF(OR(B21="",D21=""),"",B21/D21)</f>
        <v/>
      </c>
      <c r="D21" s="19" t="n"/>
      <c r="E21">
        <f>IF(C21="","",IF(C21&gt;=$B$1,"Yes","No"))</f>
        <v/>
      </c>
      <c r="F21" s="20" t="n"/>
      <c r="G21" s="21" t="n"/>
    </row>
    <row r="22">
      <c r="A22" s="16" t="n">
        <v>46661</v>
      </c>
      <c r="B22" s="17" t="n"/>
      <c r="C22" s="18">
        <f>IF(OR(B22="",D22=""),"",B22/D22)</f>
        <v/>
      </c>
      <c r="D22" s="19" t="n"/>
      <c r="E22">
        <f>IF(C22="","",IF(C22&gt;=$B$1,"Yes","No"))</f>
        <v/>
      </c>
      <c r="F22" s="20" t="n"/>
      <c r="G22" s="21" t="n"/>
    </row>
    <row r="23">
      <c r="A23" s="16" t="n">
        <v>46692</v>
      </c>
      <c r="B23" s="17" t="n"/>
      <c r="C23" s="18">
        <f>IF(OR(B23="",D23=""),"",B23/D23)</f>
        <v/>
      </c>
      <c r="D23" s="19" t="n"/>
      <c r="E23">
        <f>IF(C23="","",IF(C23&gt;=$B$1,"Yes","No"))</f>
        <v/>
      </c>
      <c r="F23" s="20" t="n"/>
      <c r="G23" s="21" t="n"/>
    </row>
    <row r="24">
      <c r="A24" s="16" t="n">
        <v>46722</v>
      </c>
      <c r="B24" s="17" t="n"/>
      <c r="C24" s="18">
        <f>IF(OR(B24="",D24=""),"",B24/D24)</f>
        <v/>
      </c>
      <c r="D24" s="19" t="n"/>
      <c r="E24">
        <f>IF(C24="","",IF(C24&gt;=$B$1,"Yes","No"))</f>
        <v/>
      </c>
      <c r="F24" s="20" t="n"/>
      <c r="G24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2" t="inlineStr">
        <is>
          <t>Spain 2027 relocation and program plan</t>
        </is>
      </c>
    </row>
    <row r="2">
      <c r="A2" s="23" t="inlineStr"/>
    </row>
    <row r="3">
      <c r="A3" s="24" t="inlineStr">
        <is>
          <t>Sheets</t>
        </is>
      </c>
    </row>
    <row r="4">
      <c r="A4" s="23" t="inlineStr">
        <is>
          <t>Summary: counts of open, overdue, and due-soon items. Formulas, do not edit.</t>
        </is>
      </c>
    </row>
    <row r="5">
      <c r="A5" s="23" t="inlineStr">
        <is>
          <t>Deadlines: every dated item. Edit the yellow Status and Notes columns. Days left and highlighting update automatically: red is overdue, yellow is due within 14 days.</t>
        </is>
      </c>
    </row>
    <row r="6">
      <c r="A6" s="23" t="inlineStr">
        <is>
          <t>Monthly actions: the action items for each month. Edit Status and Notes.</t>
        </is>
      </c>
    </row>
    <row r="7">
      <c r="A7" s="23" t="inlineStr">
        <is>
          <t>Programs: the program tracker. Edit Status, Deadline, Missing items.</t>
        </is>
      </c>
    </row>
    <row r="8">
      <c r="A8" s="23" t="inlineStr">
        <is>
          <t>Income log: enter each month's gross deposits and the rate used. The sheet shows whether the month clears the visa threshold. The first row is an example, replace it.</t>
        </is>
      </c>
    </row>
    <row r="9">
      <c r="A9" s="23" t="inlineStr"/>
    </row>
    <row r="10">
      <c r="A10" s="23" t="inlineStr">
        <is>
          <t>Yellow cells are for you to edit. Everything else is either source data or a formula.</t>
        </is>
      </c>
    </row>
    <row r="11">
      <c r="A11" s="23" t="inlineStr">
        <is>
          <t>Dates marked Month only had no exact day in the source; the day is set to the 1st.</t>
        </is>
      </c>
    </row>
    <row r="12">
      <c r="A12" s="23" t="inlineStr">
        <is>
          <t>Confidence column: Confirmed means verified with the source on the date shown. Assumed means inferred and needs checking. Not verified means unknown.</t>
        </is>
      </c>
    </row>
    <row r="13">
      <c r="A13" s="23" t="inlineStr"/>
    </row>
    <row r="14">
      <c r="A14" s="23" t="inlineStr">
        <is>
          <t>Regenerating: this file is built from the markdown plan files in the spain2027 repo by scripts/build_plan_xlsx.py. If you edit here and also want the repo updated, share the edited file back.</t>
        </is>
      </c>
    </row>
    <row r="15">
      <c r="A15" s="23" t="inlineStr">
        <is>
          <t>Built 2026-09-16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2026-09-16T16:05:15Z</dcterms:created>
  <dcterms:modified xsi:type="dcterms:W3CDTF">2026-09-16T16:05:15Z</dcterms:modified>
</cp:coreProperties>
</file>